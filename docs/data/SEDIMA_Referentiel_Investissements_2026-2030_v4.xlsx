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ice" sheetId="1" state="visible" r:id="rId3"/>
    <sheet name="Portefeuille" sheetId="2" state="visible" r:id="rId4"/>
    <sheet name="Tâches" sheetId="3" state="visible" r:id="rId5"/>
    <sheet name="Tranches" sheetId="4" state="visible" r:id="rId6"/>
    <sheet name="Contrô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<sst xmlns="http://schemas.openxmlformats.org/spreadsheetml/2006/main" count="7261" uniqueCount="980">
  <si>
    <t xml:space="preserve">Référentiel des investissements CAPEX — plan Sedima 2030</t>
  </si>
  <si>
    <t xml:space="preserve">Source unique de vérité pour les projets d'investissement CAPEX 2026-2030. Quatre niveaux : portefeuille, tâches, répartition pluriannuelle, contrôles de bouclage. Le fichier data.js sera généré depuis ce classeur — aucune saisie directe dans data.js.</t>
  </si>
  <si>
    <t xml:space="preserve">RÈGLES RETENUES</t>
  </si>
  <si>
    <t xml:space="preserve">Deux colonnes de montant</t>
  </si>
  <si>
    <t xml:space="preserve">Enveloppe approuvée / Coût reconstruit</t>
  </si>
  <si>
    <t xml:space="preserve">L'enveloppe est le budget validé ; le coût reconstruit est la somme des tâches ou des offres reçues. L'écart entre les deux est l'information de pilotage.</t>
  </si>
  <si>
    <t xml:space="preserve">Périmètre</t>
  </si>
  <si>
    <t xml:space="preserve">CAPEX uniquement</t>
  </si>
  <si>
    <t xml:space="preserve">Sont exclus gouvernance, recrutements, budget marketing et primes des fermes intégrées. Le Pilier I ne porte aucun CAPEX.</t>
  </si>
  <si>
    <t xml:space="preserve">Enveloppes KPMG</t>
  </si>
  <si>
    <t xml:space="preserve">HTVA</t>
  </si>
  <si>
    <t xml:space="preserve">Budgets du plan, buffer de 15 % inclus, traités hors taxes.</t>
  </si>
  <si>
    <t xml:space="preserve">Droits de douane</t>
  </si>
  <si>
    <t xml:space="preserve">5 % de la part importée</t>
  </si>
  <si>
    <t xml:space="preserve">Portés par les seules tâches de commande d'équipements importés.</t>
  </si>
  <si>
    <t xml:space="preserve">TVA</t>
  </si>
  <si>
    <t xml:space="preserve">18 % × (HTVA + douanes)</t>
  </si>
  <si>
    <t xml:space="preserve">Règle unique appliquée au coût reconstruit.</t>
  </si>
  <si>
    <t xml:space="preserve">Priorité de la donnée</t>
  </si>
  <si>
    <t xml:space="preserve">Contrat &gt; Offres &gt; Devis &gt; Plan KPMG &gt; Estimation</t>
  </si>
  <si>
    <t xml:space="preserve">Un montant contractuel ou devisé remplace l'enveloppe du plan, même si le portefeuille dépasse les 37,7 Mds.</t>
  </si>
  <si>
    <t xml:space="preserve">Codification</t>
  </si>
  <si>
    <t xml:space="preserve">Séquentielle PI-nn</t>
  </si>
  <si>
    <t xml:space="preserve">Un code n'est jamais réutilisé sans purge préalable de son antériorité.</t>
  </si>
  <si>
    <t xml:space="preserve">Complémentarité</t>
  </si>
  <si>
    <t xml:space="preserve">Explicite</t>
  </si>
  <si>
    <t xml:space="preserve">Deux offres complémentaires s'additionnent, deux offres concurrentes jamais. Les doublons sont déduits et journalisés.</t>
  </si>
  <si>
    <t xml:space="preserve">STATUTS DE CYCLE DE VIE</t>
  </si>
  <si>
    <t xml:space="preserve">Plan</t>
  </si>
  <si>
    <t xml:space="preserve">Inscrit au plan stratégique</t>
  </si>
  <si>
    <t xml:space="preserve">Ni cadré ni consulté.</t>
  </si>
  <si>
    <t xml:space="preserve">Cadrage</t>
  </si>
  <si>
    <t xml:space="preserve">Périmètre en cours de définition</t>
  </si>
  <si>
    <t xml:space="preserve">Découpage en lots établi, consultation lancée ou offres reçues.</t>
  </si>
  <si>
    <t xml:space="preserve">Approuvé</t>
  </si>
  <si>
    <t xml:space="preserve">Enveloppe validée par le Comité</t>
  </si>
  <si>
    <t xml:space="preserve">Prêt à engager.</t>
  </si>
  <si>
    <t xml:space="preserve">Engagé</t>
  </si>
  <si>
    <t xml:space="preserve">Contrat signé ou bon de commande émis</t>
  </si>
  <si>
    <t xml:space="preserve">Décaissements commencés ou imminents.</t>
  </si>
  <si>
    <t xml:space="preserve">En exécution</t>
  </si>
  <si>
    <t xml:space="preserve">Travaux ou fabrication en cours</t>
  </si>
  <si>
    <t xml:space="preserve">Suivi de la valeur acquise actif.</t>
  </si>
  <si>
    <t xml:space="preserve">Clôturé</t>
  </si>
  <si>
    <t xml:space="preserve">Réception prononcée, réserves levées</t>
  </si>
  <si>
    <t xml:space="preserve">Le code n'est pas réutilisable.</t>
  </si>
  <si>
    <t xml:space="preserve">Hors périmètre</t>
  </si>
  <si>
    <t xml:space="preserve">Retiré temporairement du pilotage</t>
  </si>
  <si>
    <t xml:space="preserve">Remises à niveau de bâtiments d'élevage.</t>
  </si>
  <si>
    <t xml:space="preserve">QUALITÉ DE LA DONNÉE</t>
  </si>
  <si>
    <t xml:space="preserve">Contrat</t>
  </si>
  <si>
    <t xml:space="preserve">Engagement signé ou bon de commande</t>
  </si>
  <si>
    <t xml:space="preserve">Fait foi.</t>
  </si>
  <si>
    <t xml:space="preserve">Offres</t>
  </si>
  <si>
    <t xml:space="preserve">Devis fournisseurs reçus</t>
  </si>
  <si>
    <t xml:space="preserve">Plan KPMG</t>
  </si>
  <si>
    <t xml:space="preserve">Chiffrage préliminaire du plan</t>
  </si>
  <si>
    <t xml:space="preserve">Ordre de grandeur, buffer de 15 % inclus.</t>
  </si>
  <si>
    <t xml:space="preserve">Estimation</t>
  </si>
  <si>
    <t xml:space="preserve">Ratio ou avis d'expert</t>
  </si>
  <si>
    <t xml:space="preserve">Aucune source externe.</t>
  </si>
  <si>
    <t xml:space="preserve">ONGLET TÂCHES</t>
  </si>
  <si>
    <t xml:space="preserve">Couverture</t>
  </si>
  <si>
    <t xml:space="preserve">19 projets sur 28 · 583 tâches</t>
  </si>
  <si>
    <t xml:space="preserve">68 % du portefeuille en valeur. Neuf projets restent sans découpage : PI-11, PI-12, PI-15, PI-16, PI-21, PI-22, PI-23, PI-27 et PI-28.</t>
  </si>
  <si>
    <t xml:space="preserve">Origine</t>
  </si>
  <si>
    <t xml:space="preserve">Trois sources</t>
  </si>
  <si>
    <t xml:space="preserve">PI-03 à PI-06 du fichier de saisie validé ; PI-01, PI-02, PI-07 à PI-10 des découpages établis avec Claude ; PI-13, PI-14, PI-17 à PI-20, PI-24 à PI-26 générés depuis un gabarit.</t>
  </si>
  <si>
    <t xml:space="preserve">Contrôle</t>
  </si>
  <si>
    <t xml:space="preserve">Somme des tâches = coût reconstruit</t>
  </si>
  <si>
    <t xml:space="preserve">Vérifié par formule dans l'onglet Contrôle.</t>
  </si>
  <si>
    <t xml:space="preserve">Portefeuille des investissements CAPEX 2026-2030</t>
  </si>
  <si>
    <t xml:space="preserve">28 projets, dont 25 pilotés et 3 hors périmètre. Deux colonnes de montant : l'enveloppe approuvée et le coût reconstruit sur les tâches ou les offres. L'écart entre les deux est la donnée de pilotage. Lignes vertes : contrat ou offres reçues. Lignes jaunes : chiffrage KPMG ou estimation. Lignes rosées : hors périmètre. Douanes, TVA et TTC sont calculés sur le coût reconstruit.</t>
  </si>
  <si>
    <t xml:space="preserve">Code</t>
  </si>
  <si>
    <t xml:space="preserve">Pilier</t>
  </si>
  <si>
    <t xml:space="preserve">Bucket</t>
  </si>
  <si>
    <t xml:space="preserve">Objectif du plan</t>
  </si>
  <si>
    <t xml:space="preserve">PP</t>
  </si>
  <si>
    <t xml:space="preserve">BU</t>
  </si>
  <si>
    <t xml:space="preserve">Nom du projet</t>
  </si>
  <si>
    <t xml:space="preserve">Site</t>
  </si>
  <si>
    <t xml:space="preserve">Chef de projet</t>
  </si>
  <si>
    <t xml:space="preserve">Nature (modèle WBS)</t>
  </si>
  <si>
    <t xml:space="preserve">Statut</t>
  </si>
  <si>
    <t xml:space="preserve">Début</t>
  </si>
  <si>
    <t xml:space="preserve">Fin</t>
  </si>
  <si>
    <t xml:space="preserve">Année</t>
  </si>
  <si>
    <t xml:space="preserve">Enveloppe approuvée</t>
  </si>
  <si>
    <t xml:space="preserve">Coût reconstruit</t>
  </si>
  <si>
    <t xml:space="preserve">Écart</t>
  </si>
  <si>
    <t xml:space="preserve">Douanes</t>
  </si>
  <si>
    <t xml:space="preserve">Total TTC</t>
  </si>
  <si>
    <t xml:space="preserve">Enveloppe KPMG</t>
  </si>
  <si>
    <t xml:space="preserve">Qualité</t>
  </si>
  <si>
    <t xml:space="preserve">Tâches</t>
  </si>
  <si>
    <t xml:space="preserve">Source</t>
  </si>
  <si>
    <t xml:space="preserve">Commentaire</t>
  </si>
  <si>
    <t xml:space="preserve">PI-02</t>
  </si>
  <si>
    <t xml:space="preserve">III</t>
  </si>
  <si>
    <t xml:space="preserve">Œufs de table</t>
  </si>
  <si>
    <t xml:space="preserve">Accroître et saturer les capacités de production</t>
  </si>
  <si>
    <t xml:space="preserve">PPAP</t>
  </si>
  <si>
    <t xml:space="preserve">Nouveau bâtiment PAP17</t>
  </si>
  <si>
    <t xml:space="preserve">TBD</t>
  </si>
  <si>
    <t xml:space="preserve">Assane Gueye</t>
  </si>
  <si>
    <t xml:space="preserve">Ferme / bâtiment d'élevage</t>
  </si>
  <si>
    <t xml:space="preserve">2026-01</t>
  </si>
  <si>
    <t xml:space="preserve">2027-04</t>
  </si>
  <si>
    <t xml:space="preserve">KPMG p. 75 — 3 000 M pour 3 fermes type Karaouni 2</t>
  </si>
  <si>
    <t xml:space="preserve">180 000 places sur 4 bâtiments. Site non arrêté. Découpage en 10 lots établi.</t>
  </si>
  <si>
    <t xml:space="preserve">PI-03</t>
  </si>
  <si>
    <t xml:space="preserve">OAC &amp; Poussins</t>
  </si>
  <si>
    <t xml:space="preserve">OAC</t>
  </si>
  <si>
    <t xml:space="preserve">Extension ferme OAC</t>
  </si>
  <si>
    <t xml:space="preserve">Notto</t>
  </si>
  <si>
    <t xml:space="preserve">2027-06</t>
  </si>
  <si>
    <t xml:space="preserve">Scénario A — NTD DEV25-161 et DEV25-160 (structure, CIF Dakar), VDL Agrotech OPP-2502 et OPP-2509, VDL Jansen 3024834, Roxell 3044EQ1041264 (équipement)</t>
  </si>
  <si>
    <t xml:space="preserve">6 offres couvrent 1 406 009 418 F, soit 48 % : 4 repro chair, 2 poussinières, 1 bâtiment coqs. Reliquat 1 522 990 582 F pour génie civil, VRD, électricité, montage et douane, tous exclus des offres — à chiffrer. Douanes ramenées à 5 % de la part importée ; l'ancienne base de 85 100 000 était inexpliquée et produisait la TVA incohérente.</t>
  </si>
  <si>
    <t xml:space="preserve">PI-06</t>
  </si>
  <si>
    <t xml:space="preserve">Automatiser les processus industriels</t>
  </si>
  <si>
    <t xml:space="preserve">Couvoir</t>
  </si>
  <si>
    <t xml:space="preserve">Automatisation Couvoir</t>
  </si>
  <si>
    <t xml:space="preserve">Yacine Diop</t>
  </si>
  <si>
    <t xml:space="preserve">Usine et process industriel</t>
  </si>
  <si>
    <t xml:space="preserve">2026-12</t>
  </si>
  <si>
    <t xml:space="preserve">NECTRA 132-A397c1 du 11/12/2025 signé + addendum n°1 + proforma 25P-00730-3 (200 000 € CIF Dakar) ; CIDAPE 25-1152 incubateur Petersime 576 (66 994,05 € CFR Dakar) et 26-1015 mission superviseur</t>
  </si>
  <si>
    <t xml:space="preserve">Contrat signé côté NECTRA le 30/12/2025 — case SEDIMA vide au document, à vérifier. Remise NECTRA de 67 729 € sur 236 700 € d'équipements. Génie civil, découpes de cloisons et raccordement électrique exclus, non chiffrés. CIDAPE met à la charge du client hébergement, repas, déplacements du superviseur et une équipe locale de 3 agents, 1 électricien et 1 plombier.</t>
  </si>
  <si>
    <t xml:space="preserve">PI-07</t>
  </si>
  <si>
    <t xml:space="preserve">Poulets de chair</t>
  </si>
  <si>
    <t xml:space="preserve">Abattoir</t>
  </si>
  <si>
    <t xml:space="preserve">Remise à niveau abattoir</t>
  </si>
  <si>
    <t xml:space="preserve">Ndiar</t>
  </si>
  <si>
    <t xml:space="preserve">Thierry Gomis</t>
  </si>
  <si>
    <t xml:space="preserve">2027-01</t>
  </si>
  <si>
    <t xml:space="preserve">12 offres — Frigo Indus 240805 (bon de commande BC18971) et 250109, Dakar Dur, Lassarat, AND steel, Afric Froid West, RENOSEN, CTB, Vendée Concept, Bobet, XUCLÀ, SONEDES, MULTIVAC</t>
  </si>
  <si>
    <t xml:space="preserve">Chambre négative engagée par BC18971 du 24/09/2025 (130 000 €). Trois lots ajoutés après cadrage : emballage MULTIVAC solution 02, lavage de bacs XUCLÀ 500 c/h, hygiène SONEDES — 310 M à eux seuls. Écartés : GTI (94 188 709) au profit d'AND steel, RevoxY (32 599 000) au profit de Lassarat. Déduction Dakar Dur Zone 1 annulée : surfaces distinctes de l'emprise AND steel. MULTIVAC est un budget approximatif, pas un devis.</t>
  </si>
  <si>
    <t xml:space="preserve">PI-08</t>
  </si>
  <si>
    <t xml:space="preserve">Industriel</t>
  </si>
  <si>
    <t xml:space="preserve">UA</t>
  </si>
  <si>
    <t xml:space="preserve">Extension UAB</t>
  </si>
  <si>
    <t xml:space="preserve">Usine</t>
  </si>
  <si>
    <t xml:space="preserve">2026-06</t>
  </si>
  <si>
    <t xml:space="preserve">2027-11</t>
  </si>
  <si>
    <t xml:space="preserve">Contrat Bühler du 22/05/2026 — lots AN-26, AN-25 et WR-26, 2 264 500 € CFR Dakar</t>
  </si>
  <si>
    <t xml:space="preserve">Exception au retrait des remises à niveau : contrat signé. GH-26 (680 600 €) reste non rattaché.</t>
  </si>
  <si>
    <t xml:space="preserve">PI-10</t>
  </si>
  <si>
    <t xml:space="preserve">II</t>
  </si>
  <si>
    <t xml:space="preserve">Autres</t>
  </si>
  <si>
    <t xml:space="preserve">Refonte de la politique commerciale</t>
  </si>
  <si>
    <t xml:space="preserve">IT</t>
  </si>
  <si>
    <t xml:space="preserve">Digitalisation 2026</t>
  </si>
  <si>
    <t xml:space="preserve">Siège</t>
  </si>
  <si>
    <t xml:space="preserve">Ousmane Diongue</t>
  </si>
  <si>
    <t xml:space="preserve">Informatique</t>
  </si>
  <si>
    <t xml:space="preserve">KPMG p. 10 — CRM 100 M (PP10) et plateforme e-commerce 15 M (PP8)</t>
  </si>
  <si>
    <t xml:space="preserve">Seul projet Pilier II du portefeuille. Abonnement Salesforce en Opex, non chiffré.</t>
  </si>
  <si>
    <t xml:space="preserve">PI-11</t>
  </si>
  <si>
    <t xml:space="preserve">ODT</t>
  </si>
  <si>
    <t xml:space="preserve">Automatisation des pondoirs (12 bâtiments)</t>
  </si>
  <si>
    <t xml:space="preserve">Karaouni</t>
  </si>
  <si>
    <t xml:space="preserve">À définir</t>
  </si>
  <si>
    <t xml:space="preserve">—</t>
  </si>
  <si>
    <t xml:space="preserve">KPMG p. 68 — 65 k€ par bâtiment sur 12 bâtiments, devis déjà obtenus</t>
  </si>
  <si>
    <t xml:space="preserve">Travaux en bâtiments occupés : phasage sur les vides sanitaires obligatoire.</t>
  </si>
  <si>
    <t xml:space="preserve">PI-12</t>
  </si>
  <si>
    <t xml:space="preserve">Étudier les opportunités de diversification</t>
  </si>
  <si>
    <t xml:space="preserve">Ligne de production de nuggets</t>
  </si>
  <si>
    <t xml:space="preserve">2026-07</t>
  </si>
  <si>
    <t xml:space="preserve">MULTIVAC « Ligne de production de chicken nuggets » du 06/11/2025 — hachoir Kolbe SW114-II 1 300 kg/h, mélangeur A-100L 200 kg/h, poussoir Handtmann VF608 + formage, enrobeuse-panneuse 15 cycles/min, machine sous vide P400 : 99 000 €</t>
  </si>
  <si>
    <t xml:space="preserve">500 kg/jour de blanc de poulet, produit fini surgelé en sachets de 500 g à 1 kg, process maintenu entre -2 et 0 °C. Les 99 000 € couvrent les seules machines : ni surgélation, ni transport, ni installation, ni utilités. La surgélation est absente de l'offre alors que le conditionnement se fait à -20 °C — capacité du tunnel existant de l'abattoir à vérifier, sinon compter environ 35 M de plus. Le formage des nuggets est manuel : c'est le goulot de la ligne. Recette non définie.</t>
  </si>
  <si>
    <t xml:space="preserve">PI-04</t>
  </si>
  <si>
    <t xml:space="preserve">Ferme de production OAC ponte</t>
  </si>
  <si>
    <t xml:space="preserve">2028-04</t>
  </si>
  <si>
    <t xml:space="preserve">KPMG p. 75 — 4 500 M pour 3 nouvelles fermes ponte type Karaouni 1</t>
  </si>
  <si>
    <t xml:space="preserve">Intitulée « OAC ponte » dans le référentiel actuel : rattachement d'activité à corriger.</t>
  </si>
  <si>
    <t xml:space="preserve">PI-05</t>
  </si>
  <si>
    <t xml:space="preserve">Ferme élevage poulet de chair</t>
  </si>
  <si>
    <t xml:space="preserve">KPMG p. 75 — 3 000 M pour 3 fermes chair, buffer 15 % inclus</t>
  </si>
  <si>
    <t xml:space="preserve">360 000 poulets mis en place par ferme, 1 500 t pour l'abattoir.</t>
  </si>
  <si>
    <t xml:space="preserve">PI-09</t>
  </si>
  <si>
    <t xml:space="preserve">Mettre à niveau la flotte logistique</t>
  </si>
  <si>
    <t xml:space="preserve">Logistique</t>
  </si>
  <si>
    <t xml:space="preserve">Extension Flotte logistique</t>
  </si>
  <si>
    <t xml:space="preserve">Matar Seck</t>
  </si>
  <si>
    <t xml:space="preserve">Logistique / flotte</t>
  </si>
  <si>
    <t xml:space="preserve">2028-06</t>
  </si>
  <si>
    <t xml:space="preserve">KPMG p. 78 — achats de camions, démarrage 2027, livraison début 2028</t>
  </si>
  <si>
    <t xml:space="preserve">Traitement douanier et fiscal des véhicules à trancher par la DAF.</t>
  </si>
  <si>
    <t xml:space="preserve">PI-13</t>
  </si>
  <si>
    <t xml:space="preserve">Extension ferme OAC n°2</t>
  </si>
  <si>
    <t xml:space="preserve">2027-12</t>
  </si>
  <si>
    <t xml:space="preserve">KPMG p. 17 — 4 extensions, une par an, sur poussinières et repro chair</t>
  </si>
  <si>
    <t xml:space="preserve">PI-14</t>
  </si>
  <si>
    <t xml:space="preserve">Ferme poulettes 17 semaines n°2</t>
  </si>
  <si>
    <t xml:space="preserve">KPMG p. 75 — deuxième des trois fermes type Karaouni 2</t>
  </si>
  <si>
    <t xml:space="preserve">Gabarit repris de PI-02 : 180 000 places, 4 bâtiments.</t>
  </si>
  <si>
    <t xml:space="preserve">PI-15</t>
  </si>
  <si>
    <t xml:space="preserve">Farine</t>
  </si>
  <si>
    <t xml:space="preserve">Nouveau moulin</t>
  </si>
  <si>
    <t xml:space="preserve">2028-12</t>
  </si>
  <si>
    <t xml:space="preserve">KPMG p. 76 — 5 500 M moulin, 40 M Matador, 629 M stockage et logistique partagés</t>
  </si>
  <si>
    <t xml:space="preserve">Plus gros projet du plan hors pâtes. Initialement prévu en 2025, repoussé à 2027.</t>
  </si>
  <si>
    <t xml:space="preserve">PI-16</t>
  </si>
  <si>
    <t xml:space="preserve">Optimisation des flux et du stockage (FIFO)</t>
  </si>
  <si>
    <t xml:space="preserve">KPMG p. 78 — logistique FIFO et optimisation du stockage de l'abattoir</t>
  </si>
  <si>
    <t xml:space="preserve">PI-17</t>
  </si>
  <si>
    <t xml:space="preserve">Extension ferme OAC n°3</t>
  </si>
  <si>
    <t xml:space="preserve">2028-01</t>
  </si>
  <si>
    <t xml:space="preserve">KPMG p. 17 — troisième des quatre extensions</t>
  </si>
  <si>
    <t xml:space="preserve">PI-18</t>
  </si>
  <si>
    <t xml:space="preserve">Ferme poulettes 17 semaines n°3</t>
  </si>
  <si>
    <t xml:space="preserve">2029-04</t>
  </si>
  <si>
    <t xml:space="preserve">KPMG p. 75 — troisième des trois fermes type Karaouni 2</t>
  </si>
  <si>
    <t xml:space="preserve">Porte la capacité MEP 17s à 1,9 m/an, cible 2030.</t>
  </si>
  <si>
    <t xml:space="preserve">PI-19</t>
  </si>
  <si>
    <t xml:space="preserve">Ferme ponte n°2</t>
  </si>
  <si>
    <t xml:space="preserve">KPMG p. 75 — deuxième des trois fermes ponte</t>
  </si>
  <si>
    <t xml:space="preserve">PI-20</t>
  </si>
  <si>
    <t xml:space="preserve">Ferme d'élevage poulet de chair n°2</t>
  </si>
  <si>
    <t xml:space="preserve">KPMG p. 75 — deuxième des trois fermes chair</t>
  </si>
  <si>
    <t xml:space="preserve">PI-21</t>
  </si>
  <si>
    <t xml:space="preserve">Pâtes</t>
  </si>
  <si>
    <t xml:space="preserve">Usine de pâtes et couscous</t>
  </si>
  <si>
    <t xml:space="preserve">2029-06</t>
  </si>
  <si>
    <t xml:space="preserve">KPMG p. 74 — janvier à décembre 2028, 25 kt de farine boulangère</t>
  </si>
  <si>
    <t xml:space="preserve">Nouvelle activité. 36 740 M de CA attendus en 2030 — le plus fort gain du plan.</t>
  </si>
  <si>
    <t xml:space="preserve">PI-22</t>
  </si>
  <si>
    <t xml:space="preserve">Maîtriser les coûts opérationnels</t>
  </si>
  <si>
    <t xml:space="preserve">Général</t>
  </si>
  <si>
    <t xml:space="preserve">Panneaux solaires en autoconsommation</t>
  </si>
  <si>
    <t xml:space="preserve">Multi-sites</t>
  </si>
  <si>
    <t xml:space="preserve">KPMG p. 77 — pose en autoconsommation, 84 M de gains, 5 M d'Opex</t>
  </si>
  <si>
    <t xml:space="preserve">Volet « énergie verte » du plan, à préciser site par site.</t>
  </si>
  <si>
    <t xml:space="preserve">PI-23</t>
  </si>
  <si>
    <t xml:space="preserve">Refroidissement à l'air pour le poulet frais</t>
  </si>
  <si>
    <t xml:space="preserve">KPMG p. 76 — installations de refroidissement à l'air, 220 M de gains</t>
  </si>
  <si>
    <t xml:space="preserve">PI-24</t>
  </si>
  <si>
    <t xml:space="preserve">Extension ferme OAC n°4</t>
  </si>
  <si>
    <t xml:space="preserve">2029-01</t>
  </si>
  <si>
    <t xml:space="preserve">2029-12</t>
  </si>
  <si>
    <t xml:space="preserve">KPMG p. 17 — dernière des quatre extensions</t>
  </si>
  <si>
    <t xml:space="preserve">Porte les repro chair à ~300 k effectifs, cible 2030.</t>
  </si>
  <si>
    <t xml:space="preserve">PI-25</t>
  </si>
  <si>
    <t xml:space="preserve">Ferme ponte n°3</t>
  </si>
  <si>
    <t xml:space="preserve">2030-04</t>
  </si>
  <si>
    <t xml:space="preserve">KPMG p. 75 — dernière des trois fermes ponte</t>
  </si>
  <si>
    <t xml:space="preserve">Porte les effectifs ponte à 1,6 m, cible 2030.</t>
  </si>
  <si>
    <t xml:space="preserve">PI-26</t>
  </si>
  <si>
    <t xml:space="preserve">Ferme d'élevage poulet de chair n°3</t>
  </si>
  <si>
    <t xml:space="preserve">KPMG p. 75 — dernière des trois fermes chair</t>
  </si>
  <si>
    <t xml:space="preserve">PI-01</t>
  </si>
  <si>
    <t xml:space="preserve">Réhabilitation Karaouni 1 / Facco 3</t>
  </si>
  <si>
    <t xml:space="preserve">Karaouni 1</t>
  </si>
  <si>
    <t xml:space="preserve">Pape Samba Mbengue</t>
  </si>
  <si>
    <t xml:space="preserve">Officine Facco P005591-26-001377-A-1 du 12/03/2026 — restructuration poussinière Facco 3, 34 992 poulettes, batteries P80 4 étages, 165 000 € CFR Dakar</t>
  </si>
  <si>
    <t xml:space="preserve">Remise à niveau de bâtiments d'élevage — sorti du périmètre, à reprendre ultérieurement. Une offre réelle existe déjà : 108 232 905 F, soit 46 % de l'enveloppe, montage et supervision exclus. L'enveloppe de 235 489 640 paraît courte.</t>
  </si>
  <si>
    <t xml:space="preserve">PI-27</t>
  </si>
  <si>
    <t xml:space="preserve">Remise à niveau des installations OAC</t>
  </si>
  <si>
    <t xml:space="preserve">KPMG p. 75 — 500 M pour la remise à niveau, inclus dans l'enveloppe OAC de 11 700 M</t>
  </si>
  <si>
    <t xml:space="preserve">Remise à niveau de bâtiments d'élevage — sorti du périmètre.</t>
  </si>
  <si>
    <t xml:space="preserve">PI-28</t>
  </si>
  <si>
    <t xml:space="preserve">Remise à niveau poulettes et ponte — solde</t>
  </si>
  <si>
    <t xml:space="preserve">Solde des 500 M KPMG après déduction de PI-01 (235 489 640)</t>
  </si>
  <si>
    <t xml:space="preserve">TOTAL PORTEFEUILLE</t>
  </si>
  <si>
    <t xml:space="preserve">Tâches — découpage en lots des projets cadrés</t>
  </si>
  <si>
    <t xml:space="preserve">583 tâches sur 19 projets. Dix projets portent un découpage propre ; neuf sont des répliques générées depuis un gabarit — les extensions OAC depuis PI-03, les fermes poulettes depuis PI-02, les fermes OAC ponte depuis PI-04, les fermes chair depuis PI-05. Les montants répliqués sont mis à l'échelle au prorata sur l'enveloppe cible et leur méthode est ramenée à Ratio, confiance faible : un gabarit n'est pas un devis. Début et Fin sont des semaines relatives au démarrage du projet.</t>
  </si>
  <si>
    <t xml:space="preserve">Code projet</t>
  </si>
  <si>
    <t xml:space="preserve">Code lot</t>
  </si>
  <si>
    <t xml:space="preserve">Nom du lot</t>
  </si>
  <si>
    <t xml:space="preserve">Responsable</t>
  </si>
  <si>
    <t xml:space="preserve">Code tâche</t>
  </si>
  <si>
    <t xml:space="preserve">Nom de la tâche</t>
  </si>
  <si>
    <t xml:space="preserve">Durée (sem.)</t>
  </si>
  <si>
    <t xml:space="preserve">Type de lien</t>
  </si>
  <si>
    <t xml:space="preserve">Tâche liée</t>
  </si>
  <si>
    <t xml:space="preserve">Début (sem.)</t>
  </si>
  <si>
    <t xml:space="preserve">Fin (sem.)</t>
  </si>
  <si>
    <t xml:space="preserve">Méthode</t>
  </si>
  <si>
    <t xml:space="preserve">Confiance</t>
  </si>
  <si>
    <t xml:space="preserve">L1</t>
  </si>
  <si>
    <t xml:space="preserve">Diagnostic, études et phasage</t>
  </si>
  <si>
    <t xml:space="preserve">L1.1</t>
  </si>
  <si>
    <t xml:space="preserve">État des lieux bâtiment par bâtiment et relevé des désordres</t>
  </si>
  <si>
    <t xml:space="preserve">Réhabilitation — le périmètre dépend de l'état constaté</t>
  </si>
  <si>
    <t xml:space="preserve">Avis d'expert</t>
  </si>
  <si>
    <t xml:space="preserve">Moyen</t>
  </si>
  <si>
    <t xml:space="preserve">L1.2</t>
  </si>
  <si>
    <t xml:space="preserve">Études techniques et métrés (toitures, sols, ventilation)</t>
  </si>
  <si>
    <t xml:space="preserve">FD</t>
  </si>
  <si>
    <t xml:space="preserve">Trois postes cités par la fiche projet</t>
  </si>
  <si>
    <t xml:space="preserve">L1.3</t>
  </si>
  <si>
    <t xml:space="preserve">Planning de phasage calé sur les vides sanitaires</t>
  </si>
  <si>
    <t xml:space="preserve">Sites en production — réhabilitation bâtiment par bâtiment</t>
  </si>
  <si>
    <t xml:space="preserve">Faible</t>
  </si>
  <si>
    <t xml:space="preserve">L1.4</t>
  </si>
  <si>
    <t xml:space="preserve">Consultation des entreprises et contractualisation</t>
  </si>
  <si>
    <t xml:space="preserve">Aucune offre au dossier à ce jour</t>
  </si>
  <si>
    <t xml:space="preserve">L2</t>
  </si>
  <si>
    <t xml:space="preserve">Réfection des toitures</t>
  </si>
  <si>
    <t xml:space="preserve">Conducteur de travaux</t>
  </si>
  <si>
    <t xml:space="preserve">L2.1</t>
  </si>
  <si>
    <t xml:space="preserve">Approvisionnement des matériaux de couverture et isolation</t>
  </si>
  <si>
    <t xml:space="preserve">Risque identifié : retard d'approvisionnement, double sourcing local</t>
  </si>
  <si>
    <t xml:space="preserve">Ratio</t>
  </si>
  <si>
    <t xml:space="preserve">L2.2</t>
  </si>
  <si>
    <t xml:space="preserve">Réfection des toitures — Karaouni 1</t>
  </si>
  <si>
    <t xml:space="preserve">Répartition d'enveloppe — aucun devis reçu</t>
  </si>
  <si>
    <t xml:space="preserve">L2.3</t>
  </si>
  <si>
    <t xml:space="preserve">Réfection des toitures — Facco 3</t>
  </si>
  <si>
    <t xml:space="preserve">Répartition d'enveloppe — décalé pour ne pas arrêter les deux sites</t>
  </si>
  <si>
    <t xml:space="preserve">L3</t>
  </si>
  <si>
    <t xml:space="preserve">Reprise des sols et maçonneries</t>
  </si>
  <si>
    <t xml:space="preserve">L3.1</t>
  </si>
  <si>
    <t xml:space="preserve">Démolition des sols dégradés et évacuation des gravats</t>
  </si>
  <si>
    <t xml:space="preserve">Répartition d'enveloppe</t>
  </si>
  <si>
    <t xml:space="preserve">L3.2</t>
  </si>
  <si>
    <t xml:space="preserve">Reprise des dallages et chapes</t>
  </si>
  <si>
    <t xml:space="preserve">Fiche projet — « reprise des sols »</t>
  </si>
  <si>
    <t xml:space="preserve">L3.3</t>
  </si>
  <si>
    <t xml:space="preserve">Reprise des maçonneries, seuils et ouvertures</t>
  </si>
  <si>
    <t xml:space="preserve">L4</t>
  </si>
  <si>
    <t xml:space="preserve">Remise à niveau de la ventilation</t>
  </si>
  <si>
    <t xml:space="preserve">Responsable technique élevage</t>
  </si>
  <si>
    <t xml:space="preserve">L4.1</t>
  </si>
  <si>
    <t xml:space="preserve">Commande des ventilateurs, pads et régulation d'ambiance</t>
  </si>
  <si>
    <t xml:space="preserve">Équipement importé — poste le plus lourd après les toitures</t>
  </si>
  <si>
    <t xml:space="preserve">L4.2</t>
  </si>
  <si>
    <t xml:space="preserve">Transport, dédouanement et acheminement</t>
  </si>
  <si>
    <t xml:space="preserve">Droits de douane portés par la tâche de commande</t>
  </si>
  <si>
    <t xml:space="preserve">L4.3</t>
  </si>
  <si>
    <t xml:space="preserve">Dépose de l'ancienne ventilation</t>
  </si>
  <si>
    <t xml:space="preserve">À réaliser bâtiment vide — contrainte de phasage</t>
  </si>
  <si>
    <t xml:space="preserve">L4.4</t>
  </si>
  <si>
    <t xml:space="preserve">Installation, raccordement et réglage de la ventilation</t>
  </si>
  <si>
    <t xml:space="preserve">Montage inclus dans la fourniture — à confirmer en consultation</t>
  </si>
  <si>
    <t xml:space="preserve">L5</t>
  </si>
  <si>
    <t xml:space="preserve">Équipements d'élevage et collecte des œufs</t>
  </si>
  <si>
    <t xml:space="preserve">L5.1</t>
  </si>
  <si>
    <t xml:space="preserve">Commande des pièces d'alimentation, abreuvement et collecte</t>
  </si>
  <si>
    <t xml:space="preserve">Équipement importé — remise à niveau, pas remplacement complet</t>
  </si>
  <si>
    <t xml:space="preserve">L5.2</t>
  </si>
  <si>
    <t xml:space="preserve">L5.3</t>
  </si>
  <si>
    <t xml:space="preserve">Remise à niveau des chaînes, lignes d'eau et tapis de collecte</t>
  </si>
  <si>
    <t xml:space="preserve">L6</t>
  </si>
  <si>
    <t xml:space="preserve">Électricité et secours</t>
  </si>
  <si>
    <t xml:space="preserve">Responsable maintenance</t>
  </si>
  <si>
    <t xml:space="preserve">L6.1</t>
  </si>
  <si>
    <t xml:space="preserve">Reprise des armoires, du câblage et de l'éclairage</t>
  </si>
  <si>
    <t xml:space="preserve">L6.2</t>
  </si>
  <si>
    <t xml:space="preserve">Contrôle du groupe de secours et essais de bascule</t>
  </si>
  <si>
    <t xml:space="preserve">Préalable absolu à toute remise en place d'animaux</t>
  </si>
  <si>
    <t xml:space="preserve">L7</t>
  </si>
  <si>
    <t xml:space="preserve">Biosécurité, nettoyage et désinfection</t>
  </si>
  <si>
    <t xml:space="preserve">L7.1</t>
  </si>
  <si>
    <t xml:space="preserve">Reprise des sas sanitaires, vestiaires et pédiluves</t>
  </si>
  <si>
    <t xml:space="preserve">Solde de l'enveloppe</t>
  </si>
  <si>
    <t xml:space="preserve">L7.2</t>
  </si>
  <si>
    <t xml:space="preserve">Nettoyage, désinfection et vide sanitaire réglementaire</t>
  </si>
  <si>
    <t xml:space="preserve">Préalable réglementaire à la remise en production</t>
  </si>
  <si>
    <t xml:space="preserve">L8</t>
  </si>
  <si>
    <t xml:space="preserve">Remise en production et transfert</t>
  </si>
  <si>
    <t xml:space="preserve">Responsable production</t>
  </si>
  <si>
    <t xml:space="preserve">L8.1</t>
  </si>
  <si>
    <t xml:space="preserve">Essais des équipements et contrôle d'ambiance</t>
  </si>
  <si>
    <t xml:space="preserve">L8.2</t>
  </si>
  <si>
    <t xml:space="preserve">Mise en place du lot et transfert à l'exploitation</t>
  </si>
  <si>
    <t xml:space="preserve">Créneaux poulettes à réserver en amont</t>
  </si>
  <si>
    <t xml:space="preserve">Études, terrain et autorisations</t>
  </si>
  <si>
    <t xml:space="preserve">Choix et sécurisation foncière du site</t>
  </si>
  <si>
    <t xml:space="preserve">SITE NON ARRÊTÉ — le projet est enregistré site « TBD »</t>
  </si>
  <si>
    <t xml:space="preserve">Études géotechniques et relevé topographique</t>
  </si>
  <si>
    <t xml:space="preserve">Préalable au dimensionnement des fondations</t>
  </si>
  <si>
    <t xml:space="preserve">Études d'exécution et implantation des 4 bâtiments (180 000 places)</t>
  </si>
  <si>
    <t xml:space="preserve">Dimensionnement arrêté : 180 000 places, 4 bâtiments de 45 000</t>
  </si>
  <si>
    <t xml:space="preserve">Autorisations, permis de construire et étude d'impact</t>
  </si>
  <si>
    <t xml:space="preserve">Élevage soumis à autorisation environnementale</t>
  </si>
  <si>
    <t xml:space="preserve">L1.5</t>
  </si>
  <si>
    <t xml:space="preserve">Consultation des fournisseurs et contractualisation</t>
  </si>
  <si>
    <t xml:space="preserve">KPMG PP11 — « obtenir les devis et valider le budget ajusté »</t>
  </si>
  <si>
    <t xml:space="preserve">VRD et aménagement du site</t>
  </si>
  <si>
    <t xml:space="preserve">Terrassement, plateforme et voiries internes</t>
  </si>
  <si>
    <t xml:space="preserve">Clôture périmétrique, portail et sas d'entrée</t>
  </si>
  <si>
    <t xml:space="preserve">Exigence de biosécurité — périmètre clos obligatoire</t>
  </si>
  <si>
    <t xml:space="preserve">Forage, adduction d'eau et réservoir</t>
  </si>
  <si>
    <t xml:space="preserve">DD</t>
  </si>
  <si>
    <t xml:space="preserve">KPMG PP11 — « approvisionnement continu en aliment et en eau »</t>
  </si>
  <si>
    <t xml:space="preserve">Génie civil</t>
  </si>
  <si>
    <t xml:space="preserve">Fondations, semelles et longrines</t>
  </si>
  <si>
    <t xml:space="preserve">Répartition d'enveloppe — à confirmer après étude de sol</t>
  </si>
  <si>
    <t xml:space="preserve">Dallage des 4 bâtiments d'élevage</t>
  </si>
  <si>
    <t xml:space="preserve">Locaux techniques, magasin d'aliment et logement de garde</t>
  </si>
  <si>
    <t xml:space="preserve">Structure métallique, bardage et couverture</t>
  </si>
  <si>
    <t xml:space="preserve">Fabrication de la charpente métallique</t>
  </si>
  <si>
    <t xml:space="preserve">Répartition d'enveloppe — poste le plus lourd du projet</t>
  </si>
  <si>
    <t xml:space="preserve">Montage de la charpente sur site</t>
  </si>
  <si>
    <t xml:space="preserve">Bardage, couverture et translucides</t>
  </si>
  <si>
    <t xml:space="preserve">Ventilation et régulation d'ambiance</t>
  </si>
  <si>
    <t xml:space="preserve">Commande et fabrication des équipements de ventilation</t>
  </si>
  <si>
    <t xml:space="preserve">Équipement importé — ventilation tunnel et pads de refroidissement</t>
  </si>
  <si>
    <t xml:space="preserve">Installation des ventilateurs, pads et régulation d'ambiance</t>
  </si>
  <si>
    <t xml:space="preserve">Alimentation et abreuvement</t>
  </si>
  <si>
    <t xml:space="preserve">Commande et fabrication des équipements d'élevage</t>
  </si>
  <si>
    <t xml:space="preserve">Équipement importé — chaînes d'alimentation et lignes d'eau</t>
  </si>
  <si>
    <t xml:space="preserve">L6.3</t>
  </si>
  <si>
    <t xml:space="preserve">Installation des chaînes, silos et lignes d'abreuvement</t>
  </si>
  <si>
    <t xml:space="preserve">Électricité et groupe électrogène</t>
  </si>
  <si>
    <t xml:space="preserve">Commande du groupe électrogène et des armoires</t>
  </si>
  <si>
    <t xml:space="preserve">Équipement importé — secours indispensable en élevage sous ventilation</t>
  </si>
  <si>
    <t xml:space="preserve">L7.3</t>
  </si>
  <si>
    <t xml:space="preserve">Raccordement réseau, armoires et câblage des bâtiments</t>
  </si>
  <si>
    <t xml:space="preserve">L7.4</t>
  </si>
  <si>
    <t xml:space="preserve">Installation du groupe et essais de bascule automatique</t>
  </si>
  <si>
    <t xml:space="preserve">Essai de bascule à réaliser avant toute mise en place d'animaux</t>
  </si>
  <si>
    <t xml:space="preserve">Traitement des eaux</t>
  </si>
  <si>
    <t xml:space="preserve">Commande de la station de traitement et des équipements</t>
  </si>
  <si>
    <t xml:space="preserve">Équipement importé — potabilisation et traitement des effluents</t>
  </si>
  <si>
    <t xml:space="preserve">Installation et mise en service de la station</t>
  </si>
  <si>
    <t xml:space="preserve">L9</t>
  </si>
  <si>
    <t xml:space="preserve">Biosécurité et équipements annexes</t>
  </si>
  <si>
    <t xml:space="preserve">L9.1</t>
  </si>
  <si>
    <t xml:space="preserve">Sas sanitaires, vestiaires et quai de livraison</t>
  </si>
  <si>
    <t xml:space="preserve">KPMG PP11 — normes de biosécurité</t>
  </si>
  <si>
    <t xml:space="preserve">L9.2</t>
  </si>
  <si>
    <t xml:space="preserve">Pédiluves, matériel de désinfection et équipement de nettoyage</t>
  </si>
  <si>
    <t xml:space="preserve">L10</t>
  </si>
  <si>
    <t xml:space="preserve">Mise en service et transfert à l'exploitation</t>
  </si>
  <si>
    <t xml:space="preserve">L10.1</t>
  </si>
  <si>
    <t xml:space="preserve">Essais des équipements, réglages et test de montée en température</t>
  </si>
  <si>
    <t xml:space="preserve">L10.2</t>
  </si>
  <si>
    <t xml:space="preserve">Désinfection initiale et vide sanitaire</t>
  </si>
  <si>
    <t xml:space="preserve">Préalable réglementaire à la mise en place du premier lot</t>
  </si>
  <si>
    <t xml:space="preserve">L10.3</t>
  </si>
  <si>
    <t xml:space="preserve">Recrutement et formation des équipes d'élevage</t>
  </si>
  <si>
    <t xml:space="preserve">KPMG PP11 — « recruter et former les équipes techniques »</t>
  </si>
  <si>
    <t xml:space="preserve">L10.4</t>
  </si>
  <si>
    <t xml:space="preserve">Mise en place du premier lot et transfert à l'exploitation</t>
  </si>
  <si>
    <t xml:space="preserve">180 000 poussins à réserver au couvoir 12 semaines à l'avance</t>
  </si>
  <si>
    <t xml:space="preserve">Études et autorisations</t>
  </si>
  <si>
    <t xml:space="preserve">Étude géotechnique et implantation</t>
  </si>
  <si>
    <t xml:space="preserve">Autorisations et permis de construire</t>
  </si>
  <si>
    <t xml:space="preserve">Consultation et attribution du marché génie civil</t>
  </si>
  <si>
    <t xml:space="preserve">VRD et renforcements</t>
  </si>
  <si>
    <t xml:space="preserve">Terrassement et plateformes</t>
  </si>
  <si>
    <t xml:space="preserve">Renforcement du forage et adduction d'eau</t>
  </si>
  <si>
    <t xml:space="preserve">Renforcement électrique et groupe de secours</t>
  </si>
  <si>
    <t xml:space="preserve">L2.4</t>
  </si>
  <si>
    <t xml:space="preserve">Voirie interne et clôture périmétrique</t>
  </si>
  <si>
    <t xml:space="preserve">Génie civil des 6 bâtiments</t>
  </si>
  <si>
    <t xml:space="preserve">Fondations et dallages — poussinières</t>
  </si>
  <si>
    <t xml:space="preserve">Structures, couvertures et bardages — poussinières</t>
  </si>
  <si>
    <t xml:space="preserve">Fondations et dallages — reproduction (4 bâtiments)</t>
  </si>
  <si>
    <t xml:space="preserve">L3.4</t>
  </si>
  <si>
    <t xml:space="preserve">Structures, couvertures et bardages — reproduction</t>
  </si>
  <si>
    <t xml:space="preserve">Équipement des 2 poussinières</t>
  </si>
  <si>
    <t xml:space="preserve">Responsable technique</t>
  </si>
  <si>
    <t xml:space="preserve">Ventilation, refroidissement et alarmes de température</t>
  </si>
  <si>
    <t xml:space="preserve">Chauffage et équipement de démarrage</t>
  </si>
  <si>
    <t xml:space="preserve">Électricité et éclairage</t>
  </si>
  <si>
    <t xml:space="preserve">L4.5</t>
  </si>
  <si>
    <t xml:space="preserve">Essais et réception des poussinières</t>
  </si>
  <si>
    <t xml:space="preserve">Équipement des 4 bâtiments de reproduction</t>
  </si>
  <si>
    <t xml:space="preserve">L5.4</t>
  </si>
  <si>
    <t xml:space="preserve">Nids pondoirs</t>
  </si>
  <si>
    <t xml:space="preserve">L5.5</t>
  </si>
  <si>
    <t xml:space="preserve">Chaîne de collecte des œufs</t>
  </si>
  <si>
    <t xml:space="preserve">L5.6</t>
  </si>
  <si>
    <t xml:space="preserve">Essais et réception de la reproduction</t>
  </si>
  <si>
    <t xml:space="preserve">Biosécurité et sanitaire</t>
  </si>
  <si>
    <t xml:space="preserve">Sas sanitaires et vestiaires</t>
  </si>
  <si>
    <t xml:space="preserve">Silos et stockage d'aliment</t>
  </si>
  <si>
    <t xml:space="preserve">Gestion des cadavres et des déchets</t>
  </si>
  <si>
    <t xml:space="preserve">L6.4</t>
  </si>
  <si>
    <t xml:space="preserve">Pédiluves, désinfection et clôture sanitaire</t>
  </si>
  <si>
    <t xml:space="preserve">Mise en service et transfert</t>
  </si>
  <si>
    <t xml:space="preserve">Réception technique et levée des réserves</t>
  </si>
  <si>
    <t xml:space="preserve">Formation des équipes d'élevage</t>
  </si>
  <si>
    <t xml:space="preserve">Marche à blanc et premier peuplement</t>
  </si>
  <si>
    <t xml:space="preserve">Documentation et transfert à l'exploitation</t>
  </si>
  <si>
    <t xml:space="preserve">Études, site et autorisations</t>
  </si>
  <si>
    <t xml:space="preserve">Sélection et étude du site</t>
  </si>
  <si>
    <t xml:space="preserve">Acquisition foncière et sécurisation du titre</t>
  </si>
  <si>
    <t xml:space="preserve">Études techniques et plans d'exécution</t>
  </si>
  <si>
    <t xml:space="preserve">VRD et infrastructures complètes</t>
  </si>
  <si>
    <t xml:space="preserve">Forage et adduction d'eau</t>
  </si>
  <si>
    <t xml:space="preserve">Raccordement électrique et groupe électrogène</t>
  </si>
  <si>
    <t xml:space="preserve">Voirie interne et voie d'accès</t>
  </si>
  <si>
    <t xml:space="preserve">L2.5</t>
  </si>
  <si>
    <t xml:space="preserve">Clôture périmétrique</t>
  </si>
  <si>
    <t xml:space="preserve">L2.6</t>
  </si>
  <si>
    <t xml:space="preserve">Traitement des effluents</t>
  </si>
  <si>
    <t xml:space="preserve">Génie civil des bâtiments</t>
  </si>
  <si>
    <t xml:space="preserve">Fondations et dallage — poussinière</t>
  </si>
  <si>
    <t xml:space="preserve">Structure, couverture et bardage — poussinière</t>
  </si>
  <si>
    <t xml:space="preserve">Fondations et dallages — bâtiments de ponte</t>
  </si>
  <si>
    <t xml:space="preserve">Structures, couvertures et bardages — ponte</t>
  </si>
  <si>
    <t xml:space="preserve">Équipement de la poussinière</t>
  </si>
  <si>
    <t xml:space="preserve">Essais et réception de la poussinière</t>
  </si>
  <si>
    <t xml:space="preserve">Équipement des bâtiments de ponte</t>
  </si>
  <si>
    <t xml:space="preserve">Essais et réception des bâtiments de ponte</t>
  </si>
  <si>
    <t xml:space="preserve">Local de conditionnement et chambre à œufs</t>
  </si>
  <si>
    <t xml:space="preserve">L6.5</t>
  </si>
  <si>
    <t xml:space="preserve">Pédiluves et désinfection</t>
  </si>
  <si>
    <t xml:space="preserve">Recrutement et formation des équipes</t>
  </si>
  <si>
    <t xml:space="preserve">Gestion des effluents et aire à fumier</t>
  </si>
  <si>
    <t xml:space="preserve">Génie civil des 2 bâtiments</t>
  </si>
  <si>
    <t xml:space="preserve">Fondations et dallage — bâtiment 1</t>
  </si>
  <si>
    <t xml:space="preserve">Structure, couverture et bardage — bâtiment 1</t>
  </si>
  <si>
    <t xml:space="preserve">Fondations et dallage — bâtiment 2</t>
  </si>
  <si>
    <t xml:space="preserve">Structure, couverture et bardage — bâtiment 2</t>
  </si>
  <si>
    <t xml:space="preserve">Équipement d'élevage des 2 bâtiments</t>
  </si>
  <si>
    <t xml:space="preserve">Chaîne d'alimentation automatique</t>
  </si>
  <si>
    <t xml:space="preserve">Ligne d'abreuvement</t>
  </si>
  <si>
    <t xml:space="preserve">Aire d'enlèvement et quai de chargement</t>
  </si>
  <si>
    <t xml:space="preserve">Gestion des cadavres et de la litière</t>
  </si>
  <si>
    <t xml:space="preserve">Marche à blanc et désinfection initiale</t>
  </si>
  <si>
    <t xml:space="preserve">Mise en place de la première bande</t>
  </si>
  <si>
    <t xml:space="preserve">Études, spécifications et contractualisation</t>
  </si>
  <si>
    <t xml:space="preserve">Analyse des flux et tâches automatisables</t>
  </si>
  <si>
    <t xml:space="preserve">Spécifications et consultation des fournisseurs</t>
  </si>
  <si>
    <t xml:space="preserve">Contrat NECTRA 132-A397c1 — signé le 30/12/2025</t>
  </si>
  <si>
    <t xml:space="preserve">Commande CIDAPE — proforma 25-1152</t>
  </si>
  <si>
    <t xml:space="preserve">Dossier d'exonération et démarches douanières</t>
  </si>
  <si>
    <t xml:space="preserve">Travaux à la charge de SEDIMA (hors fournitures)</t>
  </si>
  <si>
    <t xml:space="preserve">Génie civil : découpes, encadrements et cloisonnements</t>
  </si>
  <si>
    <t xml:space="preserve">Alimentation électrique de puissance et armoires</t>
  </si>
  <si>
    <t xml:space="preserve">Air comprimé : alimentation, filtration et régulation</t>
  </si>
  <si>
    <t xml:space="preserve">Eau, traitement, vidanges et trop-pleins</t>
  </si>
  <si>
    <t xml:space="preserve">Déchargement et manutention des équipements sur site</t>
  </si>
  <si>
    <t xml:space="preserve">Ligne de lavage des casiers et boîtes poussins</t>
  </si>
  <si>
    <t xml:space="preserve">Fabrication NECTRA et expédition</t>
  </si>
  <si>
    <t xml:space="preserve">Transport CIF Dakar et assurance (quote-part)</t>
  </si>
  <si>
    <t xml:space="preserve">Dédouanement et acheminement à Notto</t>
  </si>
  <si>
    <t xml:space="preserve">Montage mécanique et raccordements</t>
  </si>
  <si>
    <t xml:space="preserve">L3.5</t>
  </si>
  <si>
    <t xml:space="preserve">Essais à vide de la laveuse</t>
  </si>
  <si>
    <t xml:space="preserve">Automatisation du mirage et du transfert d'œufs</t>
  </si>
  <si>
    <t xml:space="preserve">Montage du transfert automatisé et du poste de mirage</t>
  </si>
  <si>
    <t xml:space="preserve">Automatisme, supervision et essais à vide</t>
  </si>
  <si>
    <t xml:space="preserve">Incubateur Petersime 576 supplémentaire</t>
  </si>
  <si>
    <t xml:space="preserve">Fabrication Petersime et expédition</t>
  </si>
  <si>
    <t xml:space="preserve">Transport bateau jusqu'au port de Dakar</t>
  </si>
  <si>
    <t xml:space="preserve">Mission du superviseur CIDAPE (07-18 sept. 2026)</t>
  </si>
  <si>
    <t xml:space="preserve">Hébergement, repas et déplacements du superviseur</t>
  </si>
  <si>
    <t xml:space="preserve">Montage par équipe locale (3 agents, électricien, plombier)</t>
  </si>
  <si>
    <t xml:space="preserve">L5.7</t>
  </si>
  <si>
    <t xml:space="preserve">Raccordements, régulation et essais à vide</t>
  </si>
  <si>
    <t xml:space="preserve">Mise en service, formation et transfert</t>
  </si>
  <si>
    <t xml:space="preserve">Responsable couvoir</t>
  </si>
  <si>
    <t xml:space="preserve">Essais en charge sur une première couvée</t>
  </si>
  <si>
    <t xml:space="preserve">Formation des opérateurs et procédures sanitaires</t>
  </si>
  <si>
    <t xml:space="preserve">PV de réception et solde des paiements</t>
  </si>
  <si>
    <t xml:space="preserve">Tableau de bord d'éclosion et transfert à l'exploitation</t>
  </si>
  <si>
    <t xml:space="preserve">Diagnostic des goulots et étude des flux</t>
  </si>
  <si>
    <t xml:space="preserve">Spécifications et dimensionnement du froid</t>
  </si>
  <si>
    <t xml:space="preserve">Rapport Sika juin 2026</t>
  </si>
  <si>
    <t xml:space="preserve">Consultation des fournisseurs et comparaison</t>
  </si>
  <si>
    <t xml:space="preserve">Contractualisation et ouverture des crédits</t>
  </si>
  <si>
    <t xml:space="preserve">Sols — dépose et dallage béton</t>
  </si>
  <si>
    <t xml:space="preserve">Curage du béton et du carrelage existants</t>
  </si>
  <si>
    <t xml:space="preserve">À la charge SEDIMA — scope Lassarat §2</t>
  </si>
  <si>
    <t xml:space="preserve">Ferraillage et coulage du dallage (3 zones, 1 483,92 m²)</t>
  </si>
  <si>
    <t xml:space="preserve">Dakar Dur DK 17072026/JDS 01 — 3 zones distinctes de l'emprise AND steel</t>
  </si>
  <si>
    <t xml:space="preserve">Devis fournisseur</t>
  </si>
  <si>
    <t xml:space="preserve">Élevé</t>
  </si>
  <si>
    <t xml:space="preserve">Cure du béton avant application du revêtement</t>
  </si>
  <si>
    <t xml:space="preserve">Contrainte technique Sika</t>
  </si>
  <si>
    <t xml:space="preserve">Sols — revêtement Sika Ucrete</t>
  </si>
  <si>
    <t xml:space="preserve">Approvisionnement maritime du système Ucrete</t>
  </si>
  <si>
    <t xml:space="preserve">Lassarat D260116 rev02 · 03/07/2026 — option 1</t>
  </si>
  <si>
    <t xml:space="preserve">Préparation des supports et application (1 454 m²)</t>
  </si>
  <si>
    <t xml:space="preserve">Lassarat — 10 jours, 2 équipes</t>
  </si>
  <si>
    <t xml:space="preserve">Chambre froide négative, SAS et quai réfrigéré</t>
  </si>
  <si>
    <t xml:space="preserve">Fabrication Frigo Indus et expédition</t>
  </si>
  <si>
    <t xml:space="preserve">Frigo Indus proforma 240805 · 23/09/2025</t>
  </si>
  <si>
    <t xml:space="preserve">Transport Tunis-Dakar, dédouanement et acheminement</t>
  </si>
  <si>
    <t xml:space="preserve">Inclus C&amp;F — dédouanement SEDIMA</t>
  </si>
  <si>
    <t xml:space="preserve">Génie civil du quai : fondations, dallage BA 432 m², joints</t>
  </si>
  <si>
    <t xml:space="preserve">AND steel 2026-SED-02 · 13/02/2026 (indicative)</t>
  </si>
  <si>
    <t xml:space="preserve">Charpente métallique 23,76 t : fabrication, transport, montage</t>
  </si>
  <si>
    <t xml:space="preserve">AND steel 2026-SED-02 · plans Frigo Indus Var03</t>
  </si>
  <si>
    <t xml:space="preserve">Montage des panneaux, groupes et portes isothermes</t>
  </si>
  <si>
    <t xml:space="preserve">Frigo Indus — après mise à disposition du bâti</t>
  </si>
  <si>
    <t xml:space="preserve">L4.6</t>
  </si>
  <si>
    <t xml:space="preserve">Mise au froid et essais de descente en température</t>
  </si>
  <si>
    <t xml:space="preserve">Chambre de ressuage et chariots</t>
  </si>
  <si>
    <t xml:space="preserve">Frigo Indus code 250109 · 08/04/2026</t>
  </si>
  <si>
    <t xml:space="preserve">Transport rendu Dakar, dédouanement et acheminement</t>
  </si>
  <si>
    <t xml:space="preserve">Inclus C&amp;F</t>
  </si>
  <si>
    <t xml:space="preserve">Travaux préalables et exclusions à la charge SEDIMA</t>
  </si>
  <si>
    <t xml:space="preserve">Exclusions Frigo Indus (GC, sol, évacuations)</t>
  </si>
  <si>
    <t xml:space="preserve">Cloisonnement et redressement plafond (hors panneaux de chambre)</t>
  </si>
  <si>
    <t xml:space="preserve">Afric Froid West DEE22602 — bloc 2 seul, bloc 1 déduit (panneaux inclus L5.1)</t>
  </si>
  <si>
    <t xml:space="preserve">Montage et assistance</t>
  </si>
  <si>
    <t xml:space="preserve">Frigo Indus code 250109 — travaux locaux</t>
  </si>
  <si>
    <t xml:space="preserve">Raccordements, régulation et essais</t>
  </si>
  <si>
    <t xml:space="preserve">Approvisionnement matière inox 316L des chariots</t>
  </si>
  <si>
    <t xml:space="preserve">RENOSEN 00557 · 14/02/2026 — fourniture, complétée par CTB</t>
  </si>
  <si>
    <t xml:space="preserve">L5.8</t>
  </si>
  <si>
    <t xml:space="preserve">Complément de fourniture : 200 roulettes chape inox</t>
  </si>
  <si>
    <t xml:space="preserve">MANQUANT des deux offres — ordre de grandeur, à faire chiffrer par RENOSEN</t>
  </si>
  <si>
    <t xml:space="preserve">L5.9</t>
  </si>
  <si>
    <t xml:space="preserve">Fabrication et assemblage de 50 chariots de ressuage</t>
  </si>
  <si>
    <t xml:space="preserve">CTB/PRO.CO.M CP008 · 23/06/2026 — prestation seule, matière RENOSEN</t>
  </si>
  <si>
    <t xml:space="preserve">Ligne de découpe</t>
  </si>
  <si>
    <t xml:space="preserve">Consultation et sélection du fournisseur</t>
  </si>
  <si>
    <t xml:space="preserve">À CHIFFRER — aucune offre reçue</t>
  </si>
  <si>
    <t xml:space="preserve">Fabrication et expédition</t>
  </si>
  <si>
    <t xml:space="preserve">À CHIFFRER — poste le plus lourd</t>
  </si>
  <si>
    <t xml:space="preserve">À CHIFFRER</t>
  </si>
  <si>
    <t xml:space="preserve">Montage de la ligne et convoyage</t>
  </si>
  <si>
    <t xml:space="preserve">Essais à vide et réglages</t>
  </si>
  <si>
    <t xml:space="preserve">Pesage, étiquetage et conditionnement</t>
  </si>
  <si>
    <t xml:space="preserve">Fabrication Vendée Concept et expédition</t>
  </si>
  <si>
    <t xml:space="preserve">Vendée Concept RV-GL-9131-A · 20/07/2026</t>
  </si>
  <si>
    <t xml:space="preserve">Transport, emballage et manutention</t>
  </si>
  <si>
    <t xml:space="preserve">En supplément — exclusions Vendée Concept</t>
  </si>
  <si>
    <t xml:space="preserve">Montage, installation électrique et mise en service</t>
  </si>
  <si>
    <t xml:space="preserve">Inclus devis Vendée Concept</t>
  </si>
  <si>
    <t xml:space="preserve">Formation et contrôle APAVE</t>
  </si>
  <si>
    <t xml:space="preserve">Utilités et fluides</t>
  </si>
  <si>
    <t xml:space="preserve">Renforcement électrique, armoires et câblage</t>
  </si>
  <si>
    <t xml:space="preserve">Exclu de toutes les offres</t>
  </si>
  <si>
    <t xml:space="preserve">Production et distribution d'eau glacée</t>
  </si>
  <si>
    <t xml:space="preserve">L8.3</t>
  </si>
  <si>
    <t xml:space="preserve">L8.4</t>
  </si>
  <si>
    <t xml:space="preserve">Traitement des effluents et évacuations</t>
  </si>
  <si>
    <t xml:space="preserve">Responsable abattoir</t>
  </si>
  <si>
    <t xml:space="preserve">Essais en charge et montée en cadence</t>
  </si>
  <si>
    <t xml:space="preserve">Validation sanitaire et conformité</t>
  </si>
  <si>
    <t xml:space="preserve">L9.3</t>
  </si>
  <si>
    <t xml:space="preserve">Formation des opérateurs à la découpe</t>
  </si>
  <si>
    <t xml:space="preserve">L9.4</t>
  </si>
  <si>
    <t xml:space="preserve">PV de réception et levée des réserves</t>
  </si>
  <si>
    <t xml:space="preserve">L9.5</t>
  </si>
  <si>
    <t xml:space="preserve">Tableau de bord et transfert à l'exploitation</t>
  </si>
  <si>
    <t xml:space="preserve">Accessoires d'atelier et hygiène</t>
  </si>
  <si>
    <t xml:space="preserve">Commande et fabrication Bobet (tables, lavabos, lave-bottes)</t>
  </si>
  <si>
    <t xml:space="preserve">Bobet matériel 1730607 · 14/08/2026 · CIF Dakar</t>
  </si>
  <si>
    <t xml:space="preserve">Transport, dédouanement et mise en place</t>
  </si>
  <si>
    <t xml:space="preserve">Droits et TVA import à la charge SEDIMA</t>
  </si>
  <si>
    <t xml:space="preserve">L11</t>
  </si>
  <si>
    <t xml:space="preserve">Lavage des bacs et cagettes</t>
  </si>
  <si>
    <t xml:space="preserve">L11.1</t>
  </si>
  <si>
    <t xml:space="preserve">Commande du tunnel de lavage 500 caisses/h et des 2 options</t>
  </si>
  <si>
    <t xml:space="preserve">XUCLÀ 2601738 du 13/08/2026 · 47 500 € FCA usine</t>
  </si>
  <si>
    <t xml:space="preserve">L11.2</t>
  </si>
  <si>
    <t xml:space="preserve">Emballage, transport, assurance et dédouanement</t>
  </si>
  <si>
    <t xml:space="preserve">FCA usine — emballage caisse bois facturé sur devis, non chiffré</t>
  </si>
  <si>
    <t xml:space="preserve">L11.3</t>
  </si>
  <si>
    <t xml:space="preserve">Montage, raccordements et mise en marche</t>
  </si>
  <si>
    <t xml:space="preserve">XUCLÀ — « MONTAGE ET MISE EN MARCHE : Non compris »</t>
  </si>
  <si>
    <t xml:space="preserve">L12</t>
  </si>
  <si>
    <t xml:space="preserve">Hygiène des locaux</t>
  </si>
  <si>
    <t xml:space="preserve">L12.1</t>
  </si>
  <si>
    <t xml:space="preserve">Commande de 10 centrales de nettoyage et accessoires</t>
  </si>
  <si>
    <t xml:space="preserve">SONEDES OP00073060 V2 du 13/08/2026 · 75 605 € EXW Louvigné</t>
  </si>
  <si>
    <t xml:space="preserve">L12.2</t>
  </si>
  <si>
    <t xml:space="preserve">Transport, assurance et dédouanement</t>
  </si>
  <si>
    <t xml:space="preserve">EXW — fret et douane à la charge de SEDIMA, non chiffrés</t>
  </si>
  <si>
    <t xml:space="preserve">L12.3</t>
  </si>
  <si>
    <t xml:space="preserve">Raccordement, installation et formation du personnel</t>
  </si>
  <si>
    <t xml:space="preserve">SONEDES — « Ne comprend pas le raccordement et l'installation »</t>
  </si>
  <si>
    <t xml:space="preserve">L13</t>
  </si>
  <si>
    <t xml:space="preserve">Emballage et conditionnement</t>
  </si>
  <si>
    <t xml:space="preserve">L13.1</t>
  </si>
  <si>
    <t xml:space="preserve">Spécification du produit : poids, dimensions et cadence</t>
  </si>
  <si>
    <t xml:space="preserve">MULTIVAC — « Weight and Dimensions: To be confirmed by the Customer »</t>
  </si>
  <si>
    <t xml:space="preserve">L13.2</t>
  </si>
  <si>
    <t xml:space="preserve">Commande de la ligne semi-automatique (B325, SE320, TE120, GLME 30)</t>
  </si>
  <si>
    <t xml:space="preserve">MULTIVAC North Africa du 03/06/2026 · solution 02 · budget approximatif 350 K€</t>
  </si>
  <si>
    <t xml:space="preserve">L13.3</t>
  </si>
  <si>
    <t xml:space="preserve">Incoterm non précisé au document</t>
  </si>
  <si>
    <t xml:space="preserve">L13.4</t>
  </si>
  <si>
    <t xml:space="preserve">Montage, raccordements et mise en service</t>
  </si>
  <si>
    <t xml:space="preserve">Non chiffré — à faire préciser par MULTIVAC</t>
  </si>
  <si>
    <t xml:space="preserve">L13.5</t>
  </si>
  <si>
    <t xml:space="preserve">Essais de cadence et formation des opérateurs</t>
  </si>
  <si>
    <t xml:space="preserve">Études, contractualisation et financement</t>
  </si>
  <si>
    <t xml:space="preserve">Validation des périmètres et plans d'implantation des trois lots</t>
  </si>
  <si>
    <t xml:space="preserve">Bühler — plans d'assemblage à valider par SEDIMA</t>
  </si>
  <si>
    <t xml:space="preserve">Acompte 10 % et ouverture de la lettre de crédit irrévocable</t>
  </si>
  <si>
    <t xml:space="preserve">Contrat SEDIMA-Bühler du 22/05/2026 — acompte 10 %, LC 50 %</t>
  </si>
  <si>
    <t xml:space="preserve">Dossier d'exonération APIX et démarches douanières</t>
  </si>
  <si>
    <t xml:space="preserve">Régime APIX — hypothèse de TVA à confirmer</t>
  </si>
  <si>
    <t xml:space="preserve">Bühler AN-26 — remise à niveau de l'UAB</t>
  </si>
  <si>
    <t xml:space="preserve">Ingénierie mécanique, électrique et automatisme</t>
  </si>
  <si>
    <t xml:space="preserve">AN-26 pos. 55, 58 et 60 — inclus au prix du lot</t>
  </si>
  <si>
    <t xml:space="preserve">Fabrication et expédition des équipements</t>
  </si>
  <si>
    <t xml:space="preserve">Bühler AN-26-00477-02 du 26/03/2026 · 955 000 € CFR Dakar</t>
  </si>
  <si>
    <t xml:space="preserve">Transport CFR Dakar, dédouanement et acheminement</t>
  </si>
  <si>
    <t xml:space="preserve">Incoterm CFR — dédouanement et transit à la charge SEDIMA</t>
  </si>
  <si>
    <t xml:space="preserve">Bühler AN-25 — 3e ligne de granulation</t>
  </si>
  <si>
    <t xml:space="preserve">Ingénierie et validation des plans de la ligne</t>
  </si>
  <si>
    <t xml:space="preserve">AN-25 — ingénierie incluse au prix du lot</t>
  </si>
  <si>
    <t xml:space="preserve">Bühler AN-25-03059-03 du 26/03/2026 · 989 500 € CFR Dakar</t>
  </si>
  <si>
    <t xml:space="preserve">Bühler WR-26 — transfert de blé et de son</t>
  </si>
  <si>
    <t xml:space="preserve">Ingénierie et validation du dessin ADMD-60301</t>
  </si>
  <si>
    <t xml:space="preserve">WR-26 — transfert de blé vers silos moulin, selon dessin ADMD-60301</t>
  </si>
  <si>
    <t xml:space="preserve">Bühler WR-26-32301-02 du 26/03/2026 · 320 000 € CFR Dakar</t>
  </si>
  <si>
    <t xml:space="preserve">Génie civil et adaptations du bâtiment</t>
  </si>
  <si>
    <t xml:space="preserve">Ouvertures de planchers, socles et reprises de charges (AN-26)</t>
  </si>
  <si>
    <t xml:space="preserve">Exclu Bühler — sans calculs statiques ni ouvertures</t>
  </si>
  <si>
    <t xml:space="preserve">Massifs, planchers et supports de la 3e ligne de granulation</t>
  </si>
  <si>
    <t xml:space="preserve">Exclu Bühler — infrastructure total</t>
  </si>
  <si>
    <t xml:space="preserve">Supports, passerelles et traversées des lignes de transfert</t>
  </si>
  <si>
    <t xml:space="preserve">Nettoyage, dégagement et mise à disposition du bâtiment</t>
  </si>
  <si>
    <t xml:space="preserve">Condition Bühler — bâtiment fermé, libre de gravats</t>
  </si>
  <si>
    <t xml:space="preserve">Alimentation électrique et infrastructure</t>
  </si>
  <si>
    <t xml:space="preserve">Transformateur, TGBT et correction du facteur de puissance</t>
  </si>
  <si>
    <t xml:space="preserve">Exclu Bühler — « alimentation électrique total »</t>
  </si>
  <si>
    <t xml:space="preserve">Câbles, chemins de câbles et mise à la terre</t>
  </si>
  <si>
    <t xml:space="preserve">Exclu Bühler — « installations de mise à terre total »</t>
  </si>
  <si>
    <t xml:space="preserve">Air comprimé, aspiration et eau de process</t>
  </si>
  <si>
    <t xml:space="preserve">Exclu Bühler — « infrastructure total »</t>
  </si>
  <si>
    <t xml:space="preserve">Montage mécanique et électrique</t>
  </si>
  <si>
    <t xml:space="preserve">Responsable UAB</t>
  </si>
  <si>
    <t xml:space="preserve">Montage mécanique remise à niveau UAB (7 sem. de supervision)</t>
  </si>
  <si>
    <t xml:space="preserve">Annexe 4 — profil d'emploi entreprises de montage mécanique</t>
  </si>
  <si>
    <t xml:space="preserve">Montage mécanique 3e ligne de granulation (4 sem. de supervision)</t>
  </si>
  <si>
    <t xml:space="preserve">Montage à la charge de l'acheteur — contrat de surveillance §A</t>
  </si>
  <si>
    <t xml:space="preserve">Montage mécanique des transferts (4 sem. de supervision)</t>
  </si>
  <si>
    <t xml:space="preserve">Montage électrique et raccordements des trois lots</t>
  </si>
  <si>
    <t xml:space="preserve">Supervision électrique cumulée : 44 j + 4 sem + 2 sem</t>
  </si>
  <si>
    <t xml:space="preserve">L7.5</t>
  </si>
  <si>
    <t xml:space="preserve">Logement et frais de séjour des délégués Bühler (12 missions)</t>
  </si>
  <si>
    <t xml:space="preserve">Exclu des trois offres — hôtel, petit déjeuner, déplacements</t>
  </si>
  <si>
    <t xml:space="preserve">Mise en service, essais et transfert</t>
  </si>
  <si>
    <t xml:space="preserve">Mise en service automatisme et extension du Mercury</t>
  </si>
  <si>
    <t xml:space="preserve">AN-26 pos. 55 — extension automate et PC existants</t>
  </si>
  <si>
    <t xml:space="preserve">Mise en service process et montée en cadence des trois lignes</t>
  </si>
  <si>
    <t xml:space="preserve">Ingénieurs de mise en service process des trois lots</t>
  </si>
  <si>
    <t xml:space="preserve">Essais de performance et PV de réception</t>
  </si>
  <si>
    <t xml:space="preserve">Critères capacité nette t/h et PDI — matières à fournir par SEDIMA</t>
  </si>
  <si>
    <t xml:space="preserve">Formation des opérateurs et documentation</t>
  </si>
  <si>
    <t xml:space="preserve">Manuels et catalogues pièces de rechange fournis par lot</t>
  </si>
  <si>
    <t xml:space="preserve">L8.5</t>
  </si>
  <si>
    <t xml:space="preserve">Constitution du stock de pièces de rechange de démarrage</t>
  </si>
  <si>
    <t xml:space="preserve">Pièces de rechange exclues des trois lots</t>
  </si>
  <si>
    <t xml:space="preserve">Définition du besoin et cadrage</t>
  </si>
  <si>
    <t xml:space="preserve">Directeur Supply Chain</t>
  </si>
  <si>
    <t xml:space="preserve">Diagnostic du parc existant et analyse des tournées</t>
  </si>
  <si>
    <t xml:space="preserve">KPMG PP14 — « valider les besoins réels en camions et types de véhicules »</t>
  </si>
  <si>
    <t xml:space="preserve">Définition du besoin par type de véhicule et dimensionnement</t>
  </si>
  <si>
    <t xml:space="preserve">KPMG PP14 — mix interne/externe à arbitrer</t>
  </si>
  <si>
    <t xml:space="preserve">Cahier des charges et consultation des concessionnaires</t>
  </si>
  <si>
    <t xml:space="preserve">KPMG PP14 — « obtenir les devis et ajuster le budget »</t>
  </si>
  <si>
    <t xml:space="preserve">Dépouillement et arbitrage du mix achat / leasing</t>
  </si>
  <si>
    <t xml:space="preserve">Arbitrage DAF — financement à déterminer</t>
  </si>
  <si>
    <t xml:space="preserve">Véhicules frigorifiques</t>
  </si>
  <si>
    <t xml:space="preserve">Responsable logistique</t>
  </si>
  <si>
    <t xml:space="preserve">Commande et fabrication des porteurs frigorifiques</t>
  </si>
  <si>
    <t xml:space="preserve">À CHIFFRER — priorité KPMG : sécuriser la chaîne du froid</t>
  </si>
  <si>
    <t xml:space="preserve">Carrosserie isotherme et groupe froid</t>
  </si>
  <si>
    <t xml:space="preserve">À CHIFFRER — carrossier à consulter séparément</t>
  </si>
  <si>
    <t xml:space="preserve">Transport maritime, dédouanement et acheminement</t>
  </si>
  <si>
    <t xml:space="preserve">Retour d'expérience PI-11 : 45 j de blocage douanier</t>
  </si>
  <si>
    <t xml:space="preserve">Camions de distribution d'aliment</t>
  </si>
  <si>
    <t xml:space="preserve">Commande et fabrication des porteurs vrac</t>
  </si>
  <si>
    <t xml:space="preserve">À CHIFFRER — capacité et nombre à arrêter en L1.2</t>
  </si>
  <si>
    <t xml:space="preserve">Dédouanement à anticiper — dossier transitaire en amont</t>
  </si>
  <si>
    <t xml:space="preserve">Utilitaires de collecte et de service</t>
  </si>
  <si>
    <t xml:space="preserve">Commande et livraison des utilitaires</t>
  </si>
  <si>
    <t xml:space="preserve">À CHIFFRER — collecte œufs et interventions techniques</t>
  </si>
  <si>
    <t xml:space="preserve">Équipement embarqué et télématique</t>
  </si>
  <si>
    <t xml:space="preserve">Géolocalisation GPS et enregistreurs de température</t>
  </si>
  <si>
    <t xml:space="preserve">KPMG PP14 — suivi GPS et températures</t>
  </si>
  <si>
    <t xml:space="preserve">Cartes carburant et suivi des consommations</t>
  </si>
  <si>
    <t xml:space="preserve">KPMG PP14 — « gestion du carburant contrôlée »</t>
  </si>
  <si>
    <t xml:space="preserve">Tableau de bord flotte : coûts, ponctualité, températures, disponibilité</t>
  </si>
  <si>
    <t xml:space="preserve">KPMG PP14 — indicateur de suivi de la performance flotte</t>
  </si>
  <si>
    <t xml:space="preserve">Immatriculation, assurances et conformité</t>
  </si>
  <si>
    <t xml:space="preserve">DAF</t>
  </si>
  <si>
    <t xml:space="preserve">Immatriculation et cartes grises</t>
  </si>
  <si>
    <t xml:space="preserve">Ratio sur valeur d'acquisition — à confirmer</t>
  </si>
  <si>
    <t xml:space="preserve">Assurances flotte et marchandises transportées</t>
  </si>
  <si>
    <t xml:space="preserve">Prime annuelle — première année portée par le projet</t>
  </si>
  <si>
    <t xml:space="preserve">Visites techniques et agréments transport de denrées</t>
  </si>
  <si>
    <t xml:space="preserve">Agrément sanitaire véhicules frigorifiques</t>
  </si>
  <si>
    <t xml:space="preserve">Atelier, stationnement et pièces</t>
  </si>
  <si>
    <t xml:space="preserve">Aménagement de l'aire de stationnement et du poste de lavage</t>
  </si>
  <si>
    <t xml:space="preserve">Exclu des offres véhicules — génie civil site</t>
  </si>
  <si>
    <t xml:space="preserve">Outillage d'atelier et stock de pièces de première monte</t>
  </si>
  <si>
    <t xml:space="preserve">KPMG — « maintenance rigoureuse », parc actuel vétuste</t>
  </si>
  <si>
    <t xml:space="preserve">Recrutement, formation et mise en service</t>
  </si>
  <si>
    <t xml:space="preserve">DRH</t>
  </si>
  <si>
    <t xml:space="preserve">Recrutement des chauffeurs et de l'encadrement logistique</t>
  </si>
  <si>
    <t xml:space="preserve">KPMG PP14 — recruter et former chauffeurs et équipes</t>
  </si>
  <si>
    <t xml:space="preserve">Formation transport, chaîne du froid et éco-conduite</t>
  </si>
  <si>
    <t xml:space="preserve">KPMG PP14 — bonnes pratiques transport et conservation</t>
  </si>
  <si>
    <t xml:space="preserve">Mise en place du planning de tournées optimisé</t>
  </si>
  <si>
    <t xml:space="preserve">KPMG PP14 — réduire coûts et temps de trajet</t>
  </si>
  <si>
    <t xml:space="preserve">Gouvernance et cadrage du programme</t>
  </si>
  <si>
    <t xml:space="preserve">DSI</t>
  </si>
  <si>
    <t xml:space="preserve">Cartographie du SI existant et priorisation des chantiers</t>
  </si>
  <si>
    <t xml:space="preserve">Entretien DSI — « multiplication des projets, pression sur la priorisation »</t>
  </si>
  <si>
    <t xml:space="preserve">Gouvernance du programme et cadrage des périmètres</t>
  </si>
  <si>
    <t xml:space="preserve">Entretien DSI — « cadre de gouvernance à renforcer, dérives de périmètre »</t>
  </si>
  <si>
    <t xml:space="preserve">Politique de gestion des données et des accès</t>
  </si>
  <si>
    <t xml:space="preserve">Entretien DSI — qualité des données et gestion des accès</t>
  </si>
  <si>
    <t xml:space="preserve">CRM Salesforce</t>
  </si>
  <si>
    <t xml:space="preserve">DSI / Direction commerciale</t>
  </si>
  <si>
    <t xml:space="preserve">Cartographie des processus commerciaux et traduction Salesforce</t>
  </si>
  <si>
    <t xml:space="preserve">KPMG PP10 — prospection, visites, commandes, fermes intégrées</t>
  </si>
  <si>
    <t xml:space="preserve">Licences et paramétrage Salesforce par l'intégrateur</t>
  </si>
  <si>
    <t xml:space="preserve">KPMG PP10 — Capex 100 M FCFA (150 k€ d'implémentation)</t>
  </si>
  <si>
    <t xml:space="preserve">Reprise et fiabilisation de la base clients</t>
  </si>
  <si>
    <t xml:space="preserve">KPMG PP7 — segmentation et enrichissement de la base</t>
  </si>
  <si>
    <t xml:space="preserve">Déploiement par zone commerciale et formation terrain</t>
  </si>
  <si>
    <t xml:space="preserve">KPMG PP10 — déploiement par zone, routine d'amélioration continue</t>
  </si>
  <si>
    <t xml:space="preserve">Plateforme e-commerce B2B/B2C</t>
  </si>
  <si>
    <t xml:space="preserve">DSI / Direction marketing</t>
  </si>
  <si>
    <t xml:space="preserve">Cahier des charges et choix de la solution</t>
  </si>
  <si>
    <t xml:space="preserve">KPMG PP8 — projet de vente digitale en cours d'étude</t>
  </si>
  <si>
    <t xml:space="preserve">Développement, hébergement et mise en ligne</t>
  </si>
  <si>
    <t xml:space="preserve">KPMG PP8 — Capex 15 M FCFA (développement, hébergement)</t>
  </si>
  <si>
    <t xml:space="preserve">Intégration au CRM et à Sage X3 : catalogue, commandes, paiement</t>
  </si>
  <si>
    <t xml:space="preserve">Condition de cohérence des prix et conditions entre canaux</t>
  </si>
  <si>
    <t xml:space="preserve">Recette et ouverture progressive des canaux</t>
  </si>
  <si>
    <t xml:space="preserve">KPMG PP8 — suivi de la performance multicanale</t>
  </si>
  <si>
    <t xml:space="preserve">Études, recette et agrément</t>
  </si>
  <si>
    <t xml:space="preserve">Définition du mix d'ingrédients et de la recette</t>
  </si>
  <si>
    <t xml:space="preserve">MULTIVAC p. 3 — « Ingrédients : mix à définir »</t>
  </si>
  <si>
    <t xml:space="preserve">Essais de formulation et validation organoleptique</t>
  </si>
  <si>
    <t xml:space="preserve">Préalable au dimensionnement de l'enrobage</t>
  </si>
  <si>
    <t xml:space="preserve">Agrément sanitaire du produit transformé</t>
  </si>
  <si>
    <t xml:space="preserve">Nouvelle catégorie de produit pour le site</t>
  </si>
  <si>
    <t xml:space="preserve">Équipements de process</t>
  </si>
  <si>
    <t xml:space="preserve">Hachoir Kolbe SW114-II — 1 300 kg/h, grille 2 mm</t>
  </si>
  <si>
    <t xml:space="preserve">MULTIVAC du 06/11/2025 · 19 000 €</t>
  </si>
  <si>
    <t xml:space="preserve">Mélangeur A-100 L — 200 kg/h</t>
  </si>
  <si>
    <t xml:space="preserve">MULTIVAC du 06/11/2025 · 13 000 €</t>
  </si>
  <si>
    <t xml:space="preserve">Poussoir Handtmann VF608 et système de formage nuggets</t>
  </si>
  <si>
    <t xml:space="preserve">MULTIVAC du 06/11/2025 · 40 000 € — formage manuel</t>
  </si>
  <si>
    <t xml:space="preserve">Enrobeuse-panneuse — 15 cycles/min, automatique</t>
  </si>
  <si>
    <t xml:space="preserve">MULTIVAC du 06/11/2025 · 20 000 €</t>
  </si>
  <si>
    <t xml:space="preserve">Machine sous vide MULTIVAC P400 — 2 à 3 emballages/min</t>
  </si>
  <si>
    <t xml:space="preserve">MULTIVAC du 06/11/2025 · 7 000 €</t>
  </si>
  <si>
    <t xml:space="preserve">Transport, assurance et dédouanement des cinq machines</t>
  </si>
  <si>
    <t xml:space="preserve">Incoterm non précisé au document — à faire confirmer</t>
  </si>
  <si>
    <t xml:space="preserve">Réception, déchargement et manutention sur site</t>
  </si>
  <si>
    <t xml:space="preserve">Non chiffré par MULTIVAC</t>
  </si>
  <si>
    <t xml:space="preserve">Surgélation et chaîne du froid</t>
  </si>
  <si>
    <t xml:space="preserve">Vérification de la capacité du tunnel de surgélation existant</t>
  </si>
  <si>
    <t xml:space="preserve">ABSENT DE L'OFFRE — le produit fini est surgelé et conditionné à -20 °C</t>
  </si>
  <si>
    <t xml:space="preserve">Adaptation ou complément de capacité de surgélation</t>
  </si>
  <si>
    <t xml:space="preserve">À CHIFFRER si le tunnel existant ne suffit pas — ordre de grandeur 35 M</t>
  </si>
  <si>
    <t xml:space="preserve">Interface avec la chambre négative et le stockage surgelé</t>
  </si>
  <si>
    <t xml:space="preserve">Interface avec le lot L4 de PI-07 — à coordonner</t>
  </si>
  <si>
    <t xml:space="preserve">Aménagement du local et utilités</t>
  </si>
  <si>
    <t xml:space="preserve">Aménagement du local dans les bâtiments existants de l'abattoir</t>
  </si>
  <si>
    <t xml:space="preserve">KPMG p. 28 — implantation dans les locaux existants</t>
  </si>
  <si>
    <t xml:space="preserve">Alimentation électrique, air comprimé et eau de process</t>
  </si>
  <si>
    <t xml:space="preserve">Sol, évacuations et conformité hygiène de la zone</t>
  </si>
  <si>
    <t xml:space="preserve">Zone de transformation — exigences sanitaires renforcées</t>
  </si>
  <si>
    <t xml:space="preserve">Montage, mise en service et formation</t>
  </si>
  <si>
    <t xml:space="preserve">Montage et raccordement des cinq machines</t>
  </si>
  <si>
    <t xml:space="preserve">Mise en service, réglages et essais à vide</t>
  </si>
  <si>
    <t xml:space="preserve">Formation des opérateurs au process et au formage manuel</t>
  </si>
  <si>
    <t xml:space="preserve">Formage nugget manuel — poste le plus dépendant de la main-d'œuvre</t>
  </si>
  <si>
    <t xml:space="preserve">Recette produit, essais et lancement</t>
  </si>
  <si>
    <t xml:space="preserve">Essais en charge à 500 kg/jour et contrôle des températures</t>
  </si>
  <si>
    <t xml:space="preserve">Process entre -2 °C et 0 °C — contrainte critique</t>
  </si>
  <si>
    <t xml:space="preserve">Validation des poids cibles 500 g à 1 kg et de l'emballage</t>
  </si>
  <si>
    <t xml:space="preserve">Sachets monocouche PP/PE ou multicouche PA/PE, PET/PE</t>
  </si>
  <si>
    <t xml:space="preserve">PV de réception et transfert à l'exploitation</t>
  </si>
  <si>
    <t xml:space="preserve">Gabarit repris de PI-03 · sans source propre</t>
  </si>
  <si>
    <t xml:space="preserve">Gabarit repris de PI-02 · SITE NON ARRÊTÉ — le projet est enregistré site « TBD »</t>
  </si>
  <si>
    <t xml:space="preserve">Gabarit repris de PI-02 · Préalable au dimensionnement des fondations</t>
  </si>
  <si>
    <t xml:space="preserve">Gabarit repris de PI-02 · Dimensionnement arrêté : 180 000 places, 4 bâtiments de 45 000</t>
  </si>
  <si>
    <t xml:space="preserve">Gabarit repris de PI-02 · Élevage soumis à autorisation environnementale</t>
  </si>
  <si>
    <t xml:space="preserve">Gabarit repris de PI-02 · KPMG PP11 — « obtenir les devis et valider le budget ajusté »</t>
  </si>
  <si>
    <t xml:space="preserve">Gabarit repris de PI-02 · Répartition d'enveloppe — aucun devis reçu</t>
  </si>
  <si>
    <t xml:space="preserve">Gabarit repris de PI-02 · Exigence de biosécurité — périmètre clos obligatoire</t>
  </si>
  <si>
    <t xml:space="preserve">Gabarit repris de PI-02 · KPMG PP11 — « approvisionnement continu en aliment et en eau »</t>
  </si>
  <si>
    <t xml:space="preserve">Gabarit repris de PI-02 · Répartition d'enveloppe — à confirmer après étude de sol</t>
  </si>
  <si>
    <t xml:space="preserve">Gabarit repris de PI-02 · Répartition d'enveloppe</t>
  </si>
  <si>
    <t xml:space="preserve">Gabarit repris de PI-02 · Répartition d'enveloppe — poste le plus lourd du projet</t>
  </si>
  <si>
    <t xml:space="preserve">Gabarit repris de PI-02 · Équipement importé — ventilation tunnel et pads de refroidissement</t>
  </si>
  <si>
    <t xml:space="preserve">Gabarit repris de PI-02 · Droits de douane portés par la tâche de commande</t>
  </si>
  <si>
    <t xml:space="preserve">Gabarit repris de PI-02 · Montage inclus dans la fourniture — à confirmer en consultation</t>
  </si>
  <si>
    <t xml:space="preserve">Gabarit repris de PI-02 · Équipement importé — chaînes d'alimentation et lignes d'eau</t>
  </si>
  <si>
    <t xml:space="preserve">Gabarit repris de PI-02 · Équipement importé — secours indispensable en élevage sous ventilation</t>
  </si>
  <si>
    <t xml:space="preserve">Gabarit repris de PI-02 · Essai de bascule à réaliser avant toute mise en place d'animaux</t>
  </si>
  <si>
    <t xml:space="preserve">Gabarit repris de PI-02 · Équipement importé — potabilisation et traitement des effluents</t>
  </si>
  <si>
    <t xml:space="preserve">Gabarit repris de PI-02 · KPMG PP11 — normes de biosécurité</t>
  </si>
  <si>
    <t xml:space="preserve">Gabarit repris de PI-02 · Préalable réglementaire à la mise en place du premier lot</t>
  </si>
  <si>
    <t xml:space="preserve">Gabarit repris de PI-02 · KPMG PP11 — « recruter et former les équipes techniques »</t>
  </si>
  <si>
    <t xml:space="preserve">Gabarit repris de PI-02 · 180 000 poussins à réserver au couvoir 12 semaines à l'avance</t>
  </si>
  <si>
    <t xml:space="preserve">Gabarit repris de PI-04 · sans source propre</t>
  </si>
  <si>
    <t xml:space="preserve">Gabarit repris de PI-05 · sans source propre</t>
  </si>
  <si>
    <t xml:space="preserve">TOTAL TÂCHES</t>
  </si>
  <si>
    <t xml:space="preserve">Répartition pluriannuelle du CAPEX</t>
  </si>
  <si>
    <t xml:space="preserve">Chaque projet porte son coût reconstruit sur l'exercice retenu par le plan. La répartition est modifiable ligne par ligne : la colonne Contrôle vérifie que la somme des exercices égale le coût du projet. Les projets s'étalant sur deux exercices — moulin, usine de pâtes, fermes — pourront y être répartis sans que le total ne bouge.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</si>
  <si>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</si>
  <si>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</si>
  <si>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</si>
  <si>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</si>
  <si>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</si>
  <si>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TOTAL</t>
  </si>
  <si>
    <t xml:space="preserve">Contrôles de bouclage</t>
  </si>
  <si>
    <t xml:space="preserve">Cinq niveaux : enveloppes contre coûts reconstruits, exercices, objectifs du plan (page 10), cohérence portefeuille / tâches, et qualité de la donnée. Les écarts au plan ne sont pas des erreurs : ils mesurent la distance entre le chiffrage préliminaire de KPMG et les montants réellement contractés ou devisés.</t>
  </si>
  <si>
    <t xml:space="preserve">Valeur</t>
  </si>
  <si>
    <t xml:space="preserve">Référence</t>
  </si>
  <si>
    <t xml:space="preserve">ENVELOPPES ET COÛTS RECONSTRUITS</t>
  </si>
  <si>
    <t xml:space="preserve">Total des enveloppes approuvées</t>
  </si>
  <si>
    <t xml:space="preserve">Total des coûts reconstruits</t>
  </si>
  <si>
    <t xml:space="preserve">L'écart net masque des mouvements de sens opposé, détaillés projet par projet au portefeuille.</t>
  </si>
  <si>
    <t xml:space="preserve">Enveloppe du plan KPMG</t>
  </si>
  <si>
    <t xml:space="preserve">37 670 M annoncés page 10.</t>
  </si>
  <si>
    <t xml:space="preserve">PAR EXERCICE — COÛTS RECONSTRUITS</t>
  </si>
  <si>
    <t xml:space="preserve">CAPEX 2026</t>
  </si>
  <si>
    <t xml:space="preserve">11 projet(s)</t>
  </si>
  <si>
    <t xml:space="preserve">CAPEX 2027</t>
  </si>
  <si>
    <t xml:space="preserve">7 projet(s)</t>
  </si>
  <si>
    <t xml:space="preserve">CAPEX 2028</t>
  </si>
  <si>
    <t xml:space="preserve">CAPEX 2029</t>
  </si>
  <si>
    <t xml:space="preserve">3 projet(s)</t>
  </si>
  <si>
    <t xml:space="preserve">CAPEX 2030</t>
  </si>
  <si>
    <t xml:space="preserve">0 projet(s)</t>
  </si>
  <si>
    <t xml:space="preserve">Total 2026-2030</t>
  </si>
  <si>
    <t xml:space="preserve">PAR OBJECTIF DU PLAN — PAGE 10</t>
  </si>
  <si>
    <t xml:space="preserve">Pilier III · Accroître et saturer les capacités de production</t>
  </si>
  <si>
    <t xml:space="preserve">PI-08 rentre sous l'enveloppe grâce au contrat Bühler, GH-26 exclu du coût reconstruit.</t>
  </si>
  <si>
    <t xml:space="preserve">Pilier III · Maîtriser les coûts opérationnels</t>
  </si>
  <si>
    <t xml:space="preserve">Pilier III · Automatiser les processus industriels</t>
  </si>
  <si>
    <t xml:space="preserve">PI-07 à 1 153 M sur 12 offres contre 160 M au plan ; PI-06 intègre 25 M de travaux locaux.</t>
  </si>
  <si>
    <t xml:space="preserve">Pilier III · Mettre à niveau la flotte logistique</t>
  </si>
  <si>
    <t xml:space="preserve">PI-09 intègre télématique, immatriculation et atelier, absents du chiffrage KPMG.</t>
  </si>
  <si>
    <t xml:space="preserve">Pilier III · Étudier les opportunités de diversification</t>
  </si>
  <si>
    <t xml:space="preserve">Pilier II · Refonte de la politique commerciale</t>
  </si>
  <si>
    <t xml:space="preserve">Pilier II — rattachement au portefeuille Pilier III à trancher.</t>
  </si>
  <si>
    <t xml:space="preserve">COHÉRENCE PORTEFEUILLE / TÂCHES</t>
  </si>
  <si>
    <t xml:space="preserve">PI-01 — Réhabilitation Karaouni 1 / Facco 3</t>
  </si>
  <si>
    <t xml:space="preserve">23 tâches · fin S53</t>
  </si>
  <si>
    <t xml:space="preserve">PI-02 — Nouveau bâtiment PAP17</t>
  </si>
  <si>
    <t xml:space="preserve">32 tâches · fin S66</t>
  </si>
  <si>
    <t xml:space="preserve">PI-03 — Extension ferme OAC</t>
  </si>
  <si>
    <t xml:space="preserve">30 tâches · fin S77</t>
  </si>
  <si>
    <t xml:space="preserve">PI-04 — Ferme de production OAC ponte</t>
  </si>
  <si>
    <t xml:space="preserve">35 tâches · fin S85</t>
  </si>
  <si>
    <t xml:space="preserve">PI-05 — Ferme élevage poulet de chair</t>
  </si>
  <si>
    <t xml:space="preserve">30 tâches · fin S65</t>
  </si>
  <si>
    <t xml:space="preserve">PI-06 — Automatisation Couvoir</t>
  </si>
  <si>
    <t xml:space="preserve">31 tâches · fin S58</t>
  </si>
  <si>
    <t xml:space="preserve">PI-07 — Remise à niveau abattoir</t>
  </si>
  <si>
    <t xml:space="preserve">56 tâches · fin S53</t>
  </si>
  <si>
    <t xml:space="preserve">PI-08 — Extension UAB</t>
  </si>
  <si>
    <t xml:space="preserve">29 tâches · fin S77</t>
  </si>
  <si>
    <t xml:space="preserve">PI-09 — Extension Flotte logistique</t>
  </si>
  <si>
    <t xml:space="preserve">22 tâches · fin S74</t>
  </si>
  <si>
    <t xml:space="preserve">PI-10 — Digitalisation 2026</t>
  </si>
  <si>
    <t xml:space="preserve">11 tâches · fin S37</t>
  </si>
  <si>
    <t xml:space="preserve">PI-12 — Ligne de production de nuggets</t>
  </si>
  <si>
    <t xml:space="preserve">22 tâches · fin S47</t>
  </si>
  <si>
    <t xml:space="preserve">PI-13 — Extension ferme OAC n°2</t>
  </si>
  <si>
    <t xml:space="preserve">PI-14 — Ferme poulettes 17 semaines n°2</t>
  </si>
  <si>
    <t xml:space="preserve">PI-17 — Extension ferme OAC n°3</t>
  </si>
  <si>
    <t xml:space="preserve">PI-18 — Ferme poulettes 17 semaines n°3</t>
  </si>
  <si>
    <t xml:space="preserve">PI-19 — Ferme ponte n°2</t>
  </si>
  <si>
    <t xml:space="preserve">PI-20 — Ferme d'élevage poulet de chair n°2</t>
  </si>
  <si>
    <t xml:space="preserve">PI-24 — Extension ferme OAC n°4</t>
  </si>
  <si>
    <t xml:space="preserve">PI-25 — Ferme ponte n°3</t>
  </si>
  <si>
    <t xml:space="preserve">PI-26 — Ferme d'élevage poulet de chair n°3</t>
  </si>
  <si>
    <t xml:space="preserve">Projets non découpés</t>
  </si>
  <si>
    <t xml:space="preserve">9 projets : PI-11, PI-12, PI-15, PI-16, PI-21, PI-22, PI-23, PI-27, PI-28.</t>
  </si>
  <si>
    <t xml:space="preserve">PAR QUALITÉ DE LA DONNÉE</t>
  </si>
  <si>
    <t xml:space="preserve">Contrat — 2 projet(s)</t>
  </si>
  <si>
    <t xml:space="preserve">PI-06 NECTRA et CIDAPE · PI-08 contrat Bühler.</t>
  </si>
  <si>
    <t xml:space="preserve">Offres — 3 projet(s)</t>
  </si>
  <si>
    <t xml:space="preserve">PI-03 extension OAC · PI-07 abattoir · PI-12 nuggets.</t>
  </si>
  <si>
    <t xml:space="preserve">Plan KPMG — 21 projet(s)</t>
  </si>
  <si>
    <t xml:space="preserve">Chiffrage préliminaire, buffer de 15 % inclus.</t>
  </si>
  <si>
    <t xml:space="preserve">Estimation — 2 projet(s)</t>
  </si>
  <si>
    <t xml:space="preserve">Ratio ou avis d'expert, sans source externe.</t>
  </si>
  <si>
    <t xml:space="preserve">CHARGE FISCALE ET DOUANIÈRE</t>
  </si>
  <si>
    <t xml:space="preserve">Coût reconstruit HTVA</t>
  </si>
  <si>
    <t xml:space="preserve">5 % de la part importée.</t>
  </si>
  <si>
    <t xml:space="preserve">18 % × (HTVA + douanes).</t>
  </si>
  <si>
    <t xml:space="preserve">Coût total TTC</t>
  </si>
  <si>
    <t xml:space="preserve">Le plan KPMG ne chiffre que le HTVA.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</si>
</sst>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9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610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D71920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D7192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6B7280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7F7F7"/>
      </patternFill>
    </fill>
    <fill>
      <patternFill patternType="solid">
        <fgColor rgb="FFEAF3EA"/>
        <bgColor rgb="FFF2F2F2"/>
      </patternFill>
    </fill>
    <fill>
      <patternFill patternType="solid">
        <fgColor rgb="FFFDE7E9"/>
        <bgColor rgb="FFF2F2F2"/>
      </patternFill>
    </fill>
    <fill>
      <patternFill patternType="solid">
        <fgColor rgb="FFF7F7F7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D7192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2937"/>
      </left>
      <right style="medium">
        <color rgb="FF1F2937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7192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7F7"/>
      <rgbColor rgb="FFEA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DE7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10" min="3" style="0" width="14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36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6" customFormat="false" ht="25.5" hidden="false" customHeight="true" outlineLevel="0" collapsed="false">
      <c r="B6" s="4" t="s">
        <v>3</v>
      </c>
      <c r="C6" s="5" t="s">
        <v>4</v>
      </c>
      <c r="D6" s="5"/>
      <c r="E6" s="6" t="s">
        <v>5</v>
      </c>
      <c r="F6" s="6"/>
      <c r="G6" s="6"/>
      <c r="H6" s="6"/>
      <c r="I6" s="6"/>
      <c r="J6" s="6"/>
    </row>
    <row r="7" customFormat="false" ht="25.5" hidden="false" customHeight="true" outlineLevel="0" collapsed="false">
      <c r="B7" s="4" t="s">
        <v>6</v>
      </c>
      <c r="C7" s="5" t="s">
        <v>7</v>
      </c>
      <c r="D7" s="5"/>
      <c r="E7" s="6" t="s">
        <v>8</v>
      </c>
      <c r="F7" s="6"/>
      <c r="G7" s="6"/>
      <c r="H7" s="6"/>
      <c r="I7" s="6"/>
      <c r="J7" s="6"/>
    </row>
    <row r="8" customFormat="false" ht="25.5" hidden="false" customHeight="true" outlineLevel="0" collapsed="false">
      <c r="B8" s="4" t="s">
        <v>9</v>
      </c>
      <c r="C8" s="5" t="s">
        <v>10</v>
      </c>
      <c r="D8" s="5"/>
      <c r="E8" s="6" t="s">
        <v>11</v>
      </c>
      <c r="F8" s="6"/>
      <c r="G8" s="6"/>
      <c r="H8" s="6"/>
      <c r="I8" s="6"/>
      <c r="J8" s="6"/>
    </row>
    <row r="9" customFormat="false" ht="25.5" hidden="false" customHeight="true" outlineLevel="0" collapsed="false">
      <c r="B9" s="4" t="s">
        <v>12</v>
      </c>
      <c r="C9" s="5" t="s">
        <v>13</v>
      </c>
      <c r="D9" s="5"/>
      <c r="E9" s="6" t="s">
        <v>14</v>
      </c>
      <c r="F9" s="6"/>
      <c r="G9" s="6"/>
      <c r="H9" s="6"/>
      <c r="I9" s="6"/>
      <c r="J9" s="6"/>
    </row>
    <row r="10" customFormat="false" ht="25.5" hidden="false" customHeight="true" outlineLevel="0" collapsed="false">
      <c r="B10" s="4" t="s">
        <v>15</v>
      </c>
      <c r="C10" s="5" t="s">
        <v>16</v>
      </c>
      <c r="D10" s="5"/>
      <c r="E10" s="6" t="s">
        <v>17</v>
      </c>
      <c r="F10" s="6"/>
      <c r="G10" s="6"/>
      <c r="H10" s="6"/>
      <c r="I10" s="6"/>
      <c r="J10" s="6"/>
    </row>
    <row r="11" customFormat="false" ht="25.5" hidden="false" customHeight="true" outlineLevel="0" collapsed="false">
      <c r="B11" s="4" t="s">
        <v>18</v>
      </c>
      <c r="C11" s="5" t="s">
        <v>19</v>
      </c>
      <c r="D11" s="5"/>
      <c r="E11" s="6" t="s">
        <v>20</v>
      </c>
      <c r="F11" s="6"/>
      <c r="G11" s="6"/>
      <c r="H11" s="6"/>
      <c r="I11" s="6"/>
      <c r="J11" s="6"/>
    </row>
    <row r="12" customFormat="false" ht="25.5" hidden="false" customHeight="true" outlineLevel="0" collapsed="false">
      <c r="B12" s="4" t="s">
        <v>21</v>
      </c>
      <c r="C12" s="5" t="s">
        <v>22</v>
      </c>
      <c r="D12" s="5"/>
      <c r="E12" s="6" t="s">
        <v>23</v>
      </c>
      <c r="F12" s="6"/>
      <c r="G12" s="6"/>
      <c r="H12" s="6"/>
      <c r="I12" s="6"/>
      <c r="J12" s="6"/>
    </row>
    <row r="13" customFormat="false" ht="25.5" hidden="false" customHeight="true" outlineLevel="0" collapsed="false">
      <c r="B13" s="4" t="s">
        <v>24</v>
      </c>
      <c r="C13" s="5" t="s">
        <v>25</v>
      </c>
      <c r="D13" s="5"/>
      <c r="E13" s="6" t="s">
        <v>26</v>
      </c>
      <c r="F13" s="6"/>
      <c r="G13" s="6"/>
      <c r="H13" s="6"/>
      <c r="I13" s="6"/>
      <c r="J13" s="6"/>
    </row>
    <row r="15" customFormat="false" ht="15" hidden="false" customHeight="true" outlineLevel="0" collapsed="false">
      <c r="B15" s="3" t="s">
        <v>27</v>
      </c>
      <c r="C15" s="3"/>
      <c r="D15" s="3"/>
      <c r="E15" s="3"/>
      <c r="F15" s="3"/>
      <c r="G15" s="3"/>
      <c r="H15" s="3"/>
      <c r="I15" s="3"/>
      <c r="J15" s="3"/>
    </row>
    <row r="16" customFormat="false" ht="25.5" hidden="false" customHeight="true" outlineLevel="0" collapsed="false">
      <c r="B16" s="4" t="s">
        <v>28</v>
      </c>
      <c r="C16" s="5" t="s">
        <v>29</v>
      </c>
      <c r="D16" s="5"/>
      <c r="E16" s="6" t="s">
        <v>30</v>
      </c>
      <c r="F16" s="6"/>
      <c r="G16" s="6"/>
      <c r="H16" s="6"/>
      <c r="I16" s="6"/>
      <c r="J16" s="6"/>
    </row>
    <row r="17" customFormat="false" ht="25.5" hidden="false" customHeight="true" outlineLevel="0" collapsed="false">
      <c r="B17" s="4" t="s">
        <v>31</v>
      </c>
      <c r="C17" s="5" t="s">
        <v>32</v>
      </c>
      <c r="D17" s="5"/>
      <c r="E17" s="6" t="s">
        <v>33</v>
      </c>
      <c r="F17" s="6"/>
      <c r="G17" s="6"/>
      <c r="H17" s="6"/>
      <c r="I17" s="6"/>
      <c r="J17" s="6"/>
    </row>
    <row r="18" customFormat="false" ht="25.5" hidden="false" customHeight="true" outlineLevel="0" collapsed="false">
      <c r="B18" s="4" t="s">
        <v>34</v>
      </c>
      <c r="C18" s="5" t="s">
        <v>35</v>
      </c>
      <c r="D18" s="5"/>
      <c r="E18" s="6" t="s">
        <v>36</v>
      </c>
      <c r="F18" s="6"/>
      <c r="G18" s="6"/>
      <c r="H18" s="6"/>
      <c r="I18" s="6"/>
      <c r="J18" s="6"/>
    </row>
    <row r="19" customFormat="false" ht="25.5" hidden="false" customHeight="true" outlineLevel="0" collapsed="false">
      <c r="B19" s="4" t="s">
        <v>37</v>
      </c>
      <c r="C19" s="5" t="s">
        <v>38</v>
      </c>
      <c r="D19" s="5"/>
      <c r="E19" s="6" t="s">
        <v>39</v>
      </c>
      <c r="F19" s="6"/>
      <c r="G19" s="6"/>
      <c r="H19" s="6"/>
      <c r="I19" s="6"/>
      <c r="J19" s="6"/>
    </row>
    <row r="20" customFormat="false" ht="25.5" hidden="false" customHeight="true" outlineLevel="0" collapsed="false">
      <c r="B20" s="4" t="s">
        <v>40</v>
      </c>
      <c r="C20" s="5" t="s">
        <v>41</v>
      </c>
      <c r="D20" s="5"/>
      <c r="E20" s="6" t="s">
        <v>42</v>
      </c>
      <c r="F20" s="6"/>
      <c r="G20" s="6"/>
      <c r="H20" s="6"/>
      <c r="I20" s="6"/>
      <c r="J20" s="6"/>
    </row>
    <row r="21" customFormat="false" ht="25.5" hidden="false" customHeight="true" outlineLevel="0" collapsed="false">
      <c r="B21" s="4" t="s">
        <v>43</v>
      </c>
      <c r="C21" s="5" t="s">
        <v>44</v>
      </c>
      <c r="D21" s="5"/>
      <c r="E21" s="6" t="s">
        <v>45</v>
      </c>
      <c r="F21" s="6"/>
      <c r="G21" s="6"/>
      <c r="H21" s="6"/>
      <c r="I21" s="6"/>
      <c r="J21" s="6"/>
    </row>
    <row r="22" customFormat="false" ht="25.5" hidden="false" customHeight="true" outlineLevel="0" collapsed="false">
      <c r="B22" s="4" t="s">
        <v>46</v>
      </c>
      <c r="C22" s="5" t="s">
        <v>47</v>
      </c>
      <c r="D22" s="5"/>
      <c r="E22" s="6" t="s">
        <v>48</v>
      </c>
      <c r="F22" s="6"/>
      <c r="G22" s="6"/>
      <c r="H22" s="6"/>
      <c r="I22" s="6"/>
      <c r="J22" s="6"/>
    </row>
    <row r="24" customFormat="false" ht="15" hidden="false" customHeight="true" outlineLevel="0" collapsed="false">
      <c r="B24" s="3" t="s">
        <v>49</v>
      </c>
      <c r="C24" s="3"/>
      <c r="D24" s="3"/>
      <c r="E24" s="3"/>
      <c r="F24" s="3"/>
      <c r="G24" s="3"/>
      <c r="H24" s="3"/>
      <c r="I24" s="3"/>
      <c r="J24" s="3"/>
    </row>
    <row r="25" customFormat="false" ht="25.5" hidden="false" customHeight="true" outlineLevel="0" collapsed="false">
      <c r="B25" s="4" t="s">
        <v>50</v>
      </c>
      <c r="C25" s="5" t="s">
        <v>51</v>
      </c>
      <c r="D25" s="5"/>
      <c r="E25" s="6" t="s">
        <v>52</v>
      </c>
      <c r="F25" s="6"/>
      <c r="G25" s="6"/>
      <c r="H25" s="6"/>
      <c r="I25" s="6"/>
      <c r="J25" s="6"/>
    </row>
    <row r="26" customFormat="false" ht="25.5" hidden="false" customHeight="true" outlineLevel="0" collapsed="false">
      <c r="B26" s="4" t="s">
        <v>53</v>
      </c>
      <c r="C26" s="5" t="s">
        <v>54</v>
      </c>
      <c r="D26" s="5"/>
      <c r="E26" s="6" t="s">
        <v>52</v>
      </c>
      <c r="F26" s="6"/>
      <c r="G26" s="6"/>
      <c r="H26" s="6"/>
      <c r="I26" s="6"/>
      <c r="J26" s="6"/>
    </row>
    <row r="27" customFormat="false" ht="25.5" hidden="false" customHeight="true" outlineLevel="0" collapsed="false">
      <c r="B27" s="4" t="s">
        <v>55</v>
      </c>
      <c r="C27" s="5" t="s">
        <v>56</v>
      </c>
      <c r="D27" s="5"/>
      <c r="E27" s="6" t="s">
        <v>57</v>
      </c>
      <c r="F27" s="6"/>
      <c r="G27" s="6"/>
      <c r="H27" s="6"/>
      <c r="I27" s="6"/>
      <c r="J27" s="6"/>
    </row>
    <row r="28" customFormat="false" ht="25.5" hidden="false" customHeight="true" outlineLevel="0" collapsed="false">
      <c r="B28" s="4" t="s">
        <v>58</v>
      </c>
      <c r="C28" s="5" t="s">
        <v>59</v>
      </c>
      <c r="D28" s="5"/>
      <c r="E28" s="6" t="s">
        <v>60</v>
      </c>
      <c r="F28" s="6"/>
      <c r="G28" s="6"/>
      <c r="H28" s="6"/>
      <c r="I28" s="6"/>
      <c r="J28" s="6"/>
    </row>
    <row r="30" customFormat="false" ht="15" hidden="false" customHeight="true" outlineLevel="0" collapsed="false">
      <c r="B30" s="3" t="s">
        <v>61</v>
      </c>
      <c r="C30" s="3"/>
      <c r="D30" s="3"/>
      <c r="E30" s="3"/>
      <c r="F30" s="3"/>
      <c r="G30" s="3"/>
      <c r="H30" s="3"/>
      <c r="I30" s="3"/>
      <c r="J30" s="3"/>
    </row>
    <row r="31" customFormat="false" ht="25.5" hidden="false" customHeight="true" outlineLevel="0" collapsed="false">
      <c r="B31" s="4" t="s">
        <v>62</v>
      </c>
      <c r="C31" s="5" t="s">
        <v>63</v>
      </c>
      <c r="D31" s="5"/>
      <c r="E31" s="6" t="s">
        <v>64</v>
      </c>
      <c r="F31" s="6"/>
      <c r="G31" s="6"/>
      <c r="H31" s="6"/>
      <c r="I31" s="6"/>
      <c r="J31" s="6"/>
    </row>
    <row r="32" customFormat="false" ht="25.5" hidden="false" customHeight="true" outlineLevel="0" collapsed="false">
      <c r="B32" s="4" t="s">
        <v>65</v>
      </c>
      <c r="C32" s="5" t="s">
        <v>66</v>
      </c>
      <c r="D32" s="5"/>
      <c r="E32" s="6" t="s">
        <v>67</v>
      </c>
      <c r="F32" s="6"/>
      <c r="G32" s="6"/>
      <c r="H32" s="6"/>
      <c r="I32" s="6"/>
      <c r="J32" s="6"/>
    </row>
    <row r="33" customFormat="false" ht="25.5" hidden="false" customHeight="true" outlineLevel="0" collapsed="false">
      <c r="B33" s="4" t="s">
        <v>68</v>
      </c>
      <c r="C33" s="5" t="s">
        <v>69</v>
      </c>
      <c r="D33" s="5"/>
      <c r="E33" s="6" t="s">
        <v>70</v>
      </c>
      <c r="F33" s="6"/>
      <c r="G33" s="6"/>
      <c r="H33" s="6"/>
      <c r="I33" s="6"/>
      <c r="J33" s="6"/>
    </row>
  </sheetData>
  <mergeCells count="50">
    <mergeCell ref="B2:K2"/>
    <mergeCell ref="B3:K3"/>
    <mergeCell ref="B5:J5"/>
    <mergeCell ref="C6:D6"/>
    <mergeCell ref="E6:J6"/>
    <mergeCell ref="C7:D7"/>
    <mergeCell ref="E7:J7"/>
    <mergeCell ref="C8:D8"/>
    <mergeCell ref="E8:J8"/>
    <mergeCell ref="C9:D9"/>
    <mergeCell ref="E9:J9"/>
    <mergeCell ref="C10:D10"/>
    <mergeCell ref="E10:J10"/>
    <mergeCell ref="C11:D11"/>
    <mergeCell ref="E11:J11"/>
    <mergeCell ref="C12:D12"/>
    <mergeCell ref="E12:J12"/>
    <mergeCell ref="C13:D13"/>
    <mergeCell ref="E13:J13"/>
    <mergeCell ref="B15:J15"/>
    <mergeCell ref="C16:D16"/>
    <mergeCell ref="E16:J16"/>
    <mergeCell ref="C17:D17"/>
    <mergeCell ref="E17:J17"/>
    <mergeCell ref="C18:D18"/>
    <mergeCell ref="E18:J18"/>
    <mergeCell ref="C19:D19"/>
    <mergeCell ref="E19:J19"/>
    <mergeCell ref="C20:D20"/>
    <mergeCell ref="E20:J20"/>
    <mergeCell ref="C21:D21"/>
    <mergeCell ref="E21:J21"/>
    <mergeCell ref="C22:D22"/>
    <mergeCell ref="E22:J22"/>
    <mergeCell ref="B24:J24"/>
    <mergeCell ref="C25:D25"/>
    <mergeCell ref="E25:J25"/>
    <mergeCell ref="C26:D26"/>
    <mergeCell ref="E26:J26"/>
    <mergeCell ref="C27:D27"/>
    <mergeCell ref="E27:J27"/>
    <mergeCell ref="C28:D28"/>
    <mergeCell ref="E28:J28"/>
    <mergeCell ref="B30:J30"/>
    <mergeCell ref="C31:D31"/>
    <mergeCell ref="E31:J31"/>
    <mergeCell ref="C32:D32"/>
    <mergeCell ref="E32:J32"/>
    <mergeCell ref="C33:D33"/>
    <mergeCell ref="E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Z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17"/>
    <col collapsed="false" customWidth="true" hidden="false" outlineLevel="0" max="5" min="5" style="0" width="38"/>
    <col collapsed="false" customWidth="true" hidden="false" outlineLevel="0" max="6" min="6" style="0" width="5"/>
    <col collapsed="false" customWidth="true" hidden="false" outlineLevel="0" max="7" min="7" style="0" width="12"/>
    <col collapsed="false" customWidth="true" hidden="false" outlineLevel="0" max="8" min="8" style="0" width="38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26"/>
    <col collapsed="false" customWidth="true" hidden="false" outlineLevel="0" max="12" min="12" style="0" width="15"/>
    <col collapsed="false" customWidth="true" hidden="false" outlineLevel="0" max="14" min="13" style="0" width="9"/>
    <col collapsed="false" customWidth="true" hidden="false" outlineLevel="0" max="15" min="15" style="0" width="8"/>
    <col collapsed="false" customWidth="true" hidden="false" outlineLevel="0" max="17" min="16" style="0" width="18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6"/>
    <col collapsed="false" customWidth="true" hidden="false" outlineLevel="0" max="22" min="21" style="0" width="17"/>
    <col collapsed="false" customWidth="true" hidden="false" outlineLevel="0" max="23" min="23" style="0" width="13"/>
    <col collapsed="false" customWidth="true" hidden="false" outlineLevel="0" max="24" min="24" style="0" width="8"/>
    <col collapsed="false" customWidth="true" hidden="false" outlineLevel="0" max="25" min="25" style="0" width="56"/>
    <col collapsed="false" customWidth="true" hidden="false" outlineLevel="0" max="26" min="26" style="0" width="60"/>
  </cols>
  <sheetData>
    <row r="2" customFormat="false" ht="30" hidden="false" customHeight="true" outlineLevel="0" collapsed="false">
      <c r="B2" s="1" t="s">
        <v>71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39.75" hidden="false" customHeight="true" outlineLevel="0" collapsed="false">
      <c r="B3" s="2" t="s">
        <v>72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customFormat="false" ht="30" hidden="false" customHeight="true" outlineLevel="0" collapsed="false">
      <c r="B5" s="7" t="s">
        <v>73</v>
      </c>
      <c r="C5" s="7" t="s">
        <v>74</v>
      </c>
      <c r="D5" s="7" t="s">
        <v>75</v>
      </c>
      <c r="E5" s="7" t="s">
        <v>76</v>
      </c>
      <c r="F5" s="7" t="s">
        <v>77</v>
      </c>
      <c r="G5" s="7" t="s">
        <v>78</v>
      </c>
      <c r="H5" s="7" t="s">
        <v>79</v>
      </c>
      <c r="I5" s="7" t="s">
        <v>80</v>
      </c>
      <c r="J5" s="7" t="s">
        <v>81</v>
      </c>
      <c r="K5" s="7" t="s">
        <v>82</v>
      </c>
      <c r="L5" s="7" t="s">
        <v>83</v>
      </c>
      <c r="M5" s="7" t="s">
        <v>84</v>
      </c>
      <c r="N5" s="7" t="s">
        <v>85</v>
      </c>
      <c r="O5" s="7" t="s">
        <v>86</v>
      </c>
      <c r="P5" s="7" t="s">
        <v>87</v>
      </c>
      <c r="Q5" s="7" t="s">
        <v>88</v>
      </c>
      <c r="R5" s="7" t="s">
        <v>89</v>
      </c>
      <c r="S5" s="7" t="s">
        <v>90</v>
      </c>
      <c r="T5" s="7" t="s">
        <v>15</v>
      </c>
      <c r="U5" s="7" t="s">
        <v>91</v>
      </c>
      <c r="V5" s="7" t="s">
        <v>92</v>
      </c>
      <c r="W5" s="7" t="s">
        <v>93</v>
      </c>
      <c r="X5" s="7" t="s">
        <v>94</v>
      </c>
      <c r="Y5" s="7" t="s">
        <v>95</v>
      </c>
      <c r="Z5" s="7" t="s">
        <v>96</v>
      </c>
    </row>
    <row r="6" customFormat="false" ht="15" hidden="false" customHeight="false" outlineLevel="0" collapsed="false">
      <c r="B6" s="8" t="s">
        <v>97</v>
      </c>
      <c r="C6" s="8" t="s">
        <v>98</v>
      </c>
      <c r="D6" s="8" t="s">
        <v>99</v>
      </c>
      <c r="E6" s="9" t="s">
        <v>100</v>
      </c>
      <c r="F6" s="8" t="n">
        <v>11</v>
      </c>
      <c r="G6" s="8" t="s">
        <v>101</v>
      </c>
      <c r="H6" s="9" t="s">
        <v>102</v>
      </c>
      <c r="I6" s="8" t="s">
        <v>103</v>
      </c>
      <c r="J6" s="8" t="s">
        <v>104</v>
      </c>
      <c r="K6" s="8" t="s">
        <v>105</v>
      </c>
      <c r="L6" s="8" t="s">
        <v>31</v>
      </c>
      <c r="M6" s="8" t="s">
        <v>106</v>
      </c>
      <c r="N6" s="8" t="s">
        <v>107</v>
      </c>
      <c r="O6" s="8" t="n">
        <v>2026</v>
      </c>
      <c r="P6" s="10" t="n">
        <v>1000000000</v>
      </c>
      <c r="Q6" s="10" t="n">
        <v>1000000000</v>
      </c>
      <c r="R6" s="10" t="n">
        <f aca="false">Q6-P6</f>
        <v>0</v>
      </c>
      <c r="S6" s="10" t="n">
        <v>50000000</v>
      </c>
      <c r="T6" s="11" t="n">
        <f aca="false">ROUND((Q6+S6)*0.18,0)</f>
        <v>189000000</v>
      </c>
      <c r="U6" s="11" t="n">
        <f aca="false">Q6+S6+T6</f>
        <v>1239000000</v>
      </c>
      <c r="V6" s="10" t="n">
        <v>1000000000</v>
      </c>
      <c r="W6" s="8" t="s">
        <v>55</v>
      </c>
      <c r="X6" s="8" t="n">
        <v>32</v>
      </c>
      <c r="Y6" s="9" t="s">
        <v>108</v>
      </c>
      <c r="Z6" s="9" t="s">
        <v>109</v>
      </c>
    </row>
    <row r="7" customFormat="false" ht="53.7" hidden="false" customHeight="false" outlineLevel="0" collapsed="false">
      <c r="B7" s="12" t="s">
        <v>110</v>
      </c>
      <c r="C7" s="12" t="s">
        <v>98</v>
      </c>
      <c r="D7" s="12" t="s">
        <v>111</v>
      </c>
      <c r="E7" s="13" t="s">
        <v>100</v>
      </c>
      <c r="F7" s="12" t="n">
        <v>11</v>
      </c>
      <c r="G7" s="12" t="s">
        <v>112</v>
      </c>
      <c r="H7" s="13" t="s">
        <v>113</v>
      </c>
      <c r="I7" s="12" t="s">
        <v>114</v>
      </c>
      <c r="J7" s="12" t="s">
        <v>104</v>
      </c>
      <c r="K7" s="12" t="s">
        <v>105</v>
      </c>
      <c r="L7" s="12" t="s">
        <v>31</v>
      </c>
      <c r="M7" s="12" t="s">
        <v>106</v>
      </c>
      <c r="N7" s="12" t="s">
        <v>115</v>
      </c>
      <c r="O7" s="12" t="n">
        <v>2026</v>
      </c>
      <c r="P7" s="14" t="n">
        <v>2929000000</v>
      </c>
      <c r="Q7" s="14" t="n">
        <v>2899710000</v>
      </c>
      <c r="R7" s="14" t="n">
        <f aca="false">Q7-P7</f>
        <v>-29290000</v>
      </c>
      <c r="S7" s="14" t="n">
        <v>70300471</v>
      </c>
      <c r="T7" s="11" t="n">
        <f aca="false">ROUND((Q7+S7)*0.18,0)</f>
        <v>534601885</v>
      </c>
      <c r="U7" s="11" t="n">
        <f aca="false">Q7+S7+T7</f>
        <v>3504612356</v>
      </c>
      <c r="V7" s="14" t="n">
        <v>2800000000</v>
      </c>
      <c r="W7" s="12" t="s">
        <v>53</v>
      </c>
      <c r="X7" s="12" t="n">
        <v>30</v>
      </c>
      <c r="Y7" s="13" t="s">
        <v>116</v>
      </c>
      <c r="Z7" s="13" t="s">
        <v>117</v>
      </c>
    </row>
    <row r="8" customFormat="false" ht="53.7" hidden="false" customHeight="false" outlineLevel="0" collapsed="false">
      <c r="B8" s="12" t="s">
        <v>118</v>
      </c>
      <c r="C8" s="12" t="s">
        <v>98</v>
      </c>
      <c r="D8" s="12" t="s">
        <v>111</v>
      </c>
      <c r="E8" s="13" t="s">
        <v>119</v>
      </c>
      <c r="F8" s="12" t="n">
        <v>13</v>
      </c>
      <c r="G8" s="12" t="s">
        <v>120</v>
      </c>
      <c r="H8" s="13" t="s">
        <v>121</v>
      </c>
      <c r="I8" s="12" t="s">
        <v>114</v>
      </c>
      <c r="J8" s="12" t="s">
        <v>122</v>
      </c>
      <c r="K8" s="12" t="s">
        <v>123</v>
      </c>
      <c r="L8" s="12" t="s">
        <v>37</v>
      </c>
      <c r="M8" s="12" t="s">
        <v>106</v>
      </c>
      <c r="N8" s="12" t="s">
        <v>124</v>
      </c>
      <c r="O8" s="12" t="n">
        <v>2026</v>
      </c>
      <c r="P8" s="14" t="n">
        <v>171310464</v>
      </c>
      <c r="Q8" s="14" t="n">
        <v>207934725</v>
      </c>
      <c r="R8" s="14" t="n">
        <f aca="false">Q8-P8</f>
        <v>36624261</v>
      </c>
      <c r="S8" s="14" t="n">
        <v>8796736</v>
      </c>
      <c r="T8" s="11" t="n">
        <f aca="false">ROUND((Q8+S8)*0.18,0)</f>
        <v>39011663</v>
      </c>
      <c r="U8" s="11" t="n">
        <f aca="false">Q8+S8+T8</f>
        <v>255743124</v>
      </c>
      <c r="V8" s="14" t="n">
        <v>160000000</v>
      </c>
      <c r="W8" s="12" t="s">
        <v>50</v>
      </c>
      <c r="X8" s="12" t="n">
        <v>31</v>
      </c>
      <c r="Y8" s="13" t="s">
        <v>125</v>
      </c>
      <c r="Z8" s="13" t="s">
        <v>126</v>
      </c>
    </row>
    <row r="9" customFormat="false" ht="64.15" hidden="false" customHeight="false" outlineLevel="0" collapsed="false">
      <c r="B9" s="12" t="s">
        <v>127</v>
      </c>
      <c r="C9" s="12" t="s">
        <v>98</v>
      </c>
      <c r="D9" s="12" t="s">
        <v>128</v>
      </c>
      <c r="E9" s="13" t="s">
        <v>119</v>
      </c>
      <c r="F9" s="12" t="n">
        <v>13</v>
      </c>
      <c r="G9" s="12" t="s">
        <v>129</v>
      </c>
      <c r="H9" s="13" t="s">
        <v>130</v>
      </c>
      <c r="I9" s="12" t="s">
        <v>131</v>
      </c>
      <c r="J9" s="12" t="s">
        <v>132</v>
      </c>
      <c r="K9" s="12" t="s">
        <v>123</v>
      </c>
      <c r="L9" s="12" t="s">
        <v>37</v>
      </c>
      <c r="M9" s="12" t="s">
        <v>106</v>
      </c>
      <c r="N9" s="12" t="s">
        <v>133</v>
      </c>
      <c r="O9" s="12" t="n">
        <v>2026</v>
      </c>
      <c r="P9" s="14" t="n">
        <v>700358080</v>
      </c>
      <c r="Q9" s="14" t="n">
        <v>1153434670</v>
      </c>
      <c r="R9" s="14" t="n">
        <f aca="false">Q9-P9</f>
        <v>453076590</v>
      </c>
      <c r="S9" s="14" t="n">
        <v>31081798</v>
      </c>
      <c r="T9" s="11" t="n">
        <f aca="false">ROUND((Q9+S9)*0.18,0)</f>
        <v>213212964</v>
      </c>
      <c r="U9" s="11" t="n">
        <f aca="false">Q9+S9+T9</f>
        <v>1397729432</v>
      </c>
      <c r="V9" s="14" t="n">
        <v>160000000</v>
      </c>
      <c r="W9" s="12" t="s">
        <v>53</v>
      </c>
      <c r="X9" s="12" t="n">
        <v>56</v>
      </c>
      <c r="Y9" s="13" t="s">
        <v>134</v>
      </c>
      <c r="Z9" s="13" t="s">
        <v>135</v>
      </c>
    </row>
    <row r="10" customFormat="false" ht="22.35" hidden="false" customHeight="false" outlineLevel="0" collapsed="false">
      <c r="B10" s="12" t="s">
        <v>136</v>
      </c>
      <c r="C10" s="12" t="s">
        <v>98</v>
      </c>
      <c r="D10" s="12" t="s">
        <v>137</v>
      </c>
      <c r="E10" s="13" t="s">
        <v>100</v>
      </c>
      <c r="F10" s="12" t="n">
        <v>11</v>
      </c>
      <c r="G10" s="12" t="s">
        <v>138</v>
      </c>
      <c r="H10" s="13" t="s">
        <v>139</v>
      </c>
      <c r="I10" s="12" t="s">
        <v>140</v>
      </c>
      <c r="J10" s="12" t="s">
        <v>122</v>
      </c>
      <c r="K10" s="12" t="s">
        <v>123</v>
      </c>
      <c r="L10" s="12" t="s">
        <v>37</v>
      </c>
      <c r="M10" s="12" t="s">
        <v>141</v>
      </c>
      <c r="N10" s="12" t="s">
        <v>142</v>
      </c>
      <c r="O10" s="12" t="n">
        <v>2026</v>
      </c>
      <c r="P10" s="14" t="n">
        <v>3205744000</v>
      </c>
      <c r="Q10" s="14" t="n">
        <v>1832414627</v>
      </c>
      <c r="R10" s="14" t="n">
        <f aca="false">Q10-P10</f>
        <v>-1373329373</v>
      </c>
      <c r="S10" s="14" t="n">
        <v>88115600</v>
      </c>
      <c r="T10" s="11" t="n">
        <f aca="false">ROUND((Q10+S10)*0.18,0)</f>
        <v>345695441</v>
      </c>
      <c r="U10" s="11" t="n">
        <f aca="false">Q10+S10+T10</f>
        <v>2266225668</v>
      </c>
      <c r="V10" s="14" t="n">
        <v>2300000000</v>
      </c>
      <c r="W10" s="12" t="s">
        <v>50</v>
      </c>
      <c r="X10" s="12" t="n">
        <v>29</v>
      </c>
      <c r="Y10" s="13" t="s">
        <v>143</v>
      </c>
      <c r="Z10" s="13" t="s">
        <v>144</v>
      </c>
    </row>
    <row r="11" customFormat="false" ht="15" hidden="false" customHeight="false" outlineLevel="0" collapsed="false">
      <c r="B11" s="8" t="s">
        <v>145</v>
      </c>
      <c r="C11" s="8" t="s">
        <v>146</v>
      </c>
      <c r="D11" s="8" t="s">
        <v>147</v>
      </c>
      <c r="E11" s="9" t="s">
        <v>148</v>
      </c>
      <c r="F11" s="8" t="n">
        <v>10</v>
      </c>
      <c r="G11" s="8" t="s">
        <v>149</v>
      </c>
      <c r="H11" s="9" t="s">
        <v>150</v>
      </c>
      <c r="I11" s="8" t="s">
        <v>151</v>
      </c>
      <c r="J11" s="8" t="s">
        <v>152</v>
      </c>
      <c r="K11" s="8" t="s">
        <v>153</v>
      </c>
      <c r="L11" s="8" t="s">
        <v>31</v>
      </c>
      <c r="M11" s="8" t="s">
        <v>106</v>
      </c>
      <c r="N11" s="8" t="s">
        <v>124</v>
      </c>
      <c r="O11" s="8" t="n">
        <v>2026</v>
      </c>
      <c r="P11" s="10" t="n">
        <v>105000000</v>
      </c>
      <c r="Q11" s="10" t="n">
        <v>126000000</v>
      </c>
      <c r="R11" s="10" t="n">
        <f aca="false">Q11-P11</f>
        <v>21000000</v>
      </c>
      <c r="S11" s="10" t="n">
        <v>0</v>
      </c>
      <c r="T11" s="11" t="n">
        <f aca="false">ROUND((Q11+S11)*0.18,0)</f>
        <v>22680000</v>
      </c>
      <c r="U11" s="11" t="n">
        <f aca="false">Q11+S11+T11</f>
        <v>148680000</v>
      </c>
      <c r="V11" s="10" t="n">
        <v>115000000</v>
      </c>
      <c r="W11" s="8" t="s">
        <v>55</v>
      </c>
      <c r="X11" s="8" t="n">
        <v>11</v>
      </c>
      <c r="Y11" s="9" t="s">
        <v>154</v>
      </c>
      <c r="Z11" s="9" t="s">
        <v>155</v>
      </c>
    </row>
    <row r="12" customFormat="false" ht="15" hidden="false" customHeight="false" outlineLevel="0" collapsed="false">
      <c r="B12" s="8" t="s">
        <v>156</v>
      </c>
      <c r="C12" s="8" t="s">
        <v>98</v>
      </c>
      <c r="D12" s="8" t="s">
        <v>99</v>
      </c>
      <c r="E12" s="9" t="s">
        <v>119</v>
      </c>
      <c r="F12" s="8" t="n">
        <v>13</v>
      </c>
      <c r="G12" s="8" t="s">
        <v>157</v>
      </c>
      <c r="H12" s="9" t="s">
        <v>158</v>
      </c>
      <c r="I12" s="8" t="s">
        <v>159</v>
      </c>
      <c r="J12" s="8" t="s">
        <v>160</v>
      </c>
      <c r="K12" s="8" t="s">
        <v>105</v>
      </c>
      <c r="L12" s="8" t="s">
        <v>28</v>
      </c>
      <c r="M12" s="8" t="s">
        <v>106</v>
      </c>
      <c r="N12" s="8" t="s">
        <v>124</v>
      </c>
      <c r="O12" s="8" t="n">
        <v>2026</v>
      </c>
      <c r="P12" s="10" t="n">
        <v>516000000</v>
      </c>
      <c r="Q12" s="10" t="n">
        <v>516000000</v>
      </c>
      <c r="R12" s="10" t="n">
        <f aca="false">Q12-P12</f>
        <v>0</v>
      </c>
      <c r="S12" s="10" t="n">
        <v>25800000</v>
      </c>
      <c r="T12" s="11" t="n">
        <f aca="false">ROUND((Q12+S12)*0.18,0)</f>
        <v>97524000</v>
      </c>
      <c r="U12" s="11" t="n">
        <f aca="false">Q12+S12+T12</f>
        <v>639324000</v>
      </c>
      <c r="V12" s="10" t="n">
        <v>516000000</v>
      </c>
      <c r="W12" s="8" t="s">
        <v>55</v>
      </c>
      <c r="X12" s="8" t="s">
        <v>161</v>
      </c>
      <c r="Y12" s="9" t="s">
        <v>162</v>
      </c>
      <c r="Z12" s="9" t="s">
        <v>163</v>
      </c>
    </row>
    <row r="13" customFormat="false" ht="64.15" hidden="false" customHeight="false" outlineLevel="0" collapsed="false">
      <c r="B13" s="12" t="s">
        <v>164</v>
      </c>
      <c r="C13" s="12" t="s">
        <v>98</v>
      </c>
      <c r="D13" s="12" t="s">
        <v>128</v>
      </c>
      <c r="E13" s="13" t="s">
        <v>165</v>
      </c>
      <c r="F13" s="12" t="n">
        <v>15</v>
      </c>
      <c r="G13" s="12" t="s">
        <v>129</v>
      </c>
      <c r="H13" s="13" t="s">
        <v>166</v>
      </c>
      <c r="I13" s="12" t="s">
        <v>131</v>
      </c>
      <c r="J13" s="12" t="s">
        <v>160</v>
      </c>
      <c r="K13" s="12" t="s">
        <v>123</v>
      </c>
      <c r="L13" s="12" t="s">
        <v>31</v>
      </c>
      <c r="M13" s="12" t="s">
        <v>106</v>
      </c>
      <c r="N13" s="12" t="s">
        <v>167</v>
      </c>
      <c r="O13" s="12" t="n">
        <v>2026</v>
      </c>
      <c r="P13" s="14" t="n">
        <v>65000000</v>
      </c>
      <c r="Q13" s="14" t="n">
        <v>120939743</v>
      </c>
      <c r="R13" s="14" t="n">
        <f aca="false">Q13-P13</f>
        <v>55939743</v>
      </c>
      <c r="S13" s="14" t="n">
        <v>3246987</v>
      </c>
      <c r="T13" s="11" t="n">
        <f aca="false">ROUND((Q13+S13)*0.18,0)</f>
        <v>22353611</v>
      </c>
      <c r="U13" s="11" t="n">
        <f aca="false">Q13+S13+T13</f>
        <v>146540341</v>
      </c>
      <c r="V13" s="14" t="n">
        <v>65000000</v>
      </c>
      <c r="W13" s="12" t="s">
        <v>53</v>
      </c>
      <c r="X13" s="12" t="n">
        <v>22</v>
      </c>
      <c r="Y13" s="13" t="s">
        <v>168</v>
      </c>
      <c r="Z13" s="13" t="s">
        <v>169</v>
      </c>
    </row>
    <row r="14" customFormat="false" ht="22.35" hidden="false" customHeight="false" outlineLevel="0" collapsed="false">
      <c r="B14" s="8" t="s">
        <v>170</v>
      </c>
      <c r="C14" s="8" t="s">
        <v>98</v>
      </c>
      <c r="D14" s="8" t="s">
        <v>111</v>
      </c>
      <c r="E14" s="9" t="s">
        <v>100</v>
      </c>
      <c r="F14" s="8" t="n">
        <v>11</v>
      </c>
      <c r="G14" s="8" t="s">
        <v>112</v>
      </c>
      <c r="H14" s="9" t="s">
        <v>171</v>
      </c>
      <c r="I14" s="8" t="s">
        <v>103</v>
      </c>
      <c r="J14" s="8" t="s">
        <v>104</v>
      </c>
      <c r="K14" s="8" t="s">
        <v>105</v>
      </c>
      <c r="L14" s="8" t="s">
        <v>28</v>
      </c>
      <c r="M14" s="8" t="s">
        <v>133</v>
      </c>
      <c r="N14" s="8" t="s">
        <v>172</v>
      </c>
      <c r="O14" s="8" t="n">
        <v>2027</v>
      </c>
      <c r="P14" s="10" t="n">
        <v>1500000000</v>
      </c>
      <c r="Q14" s="10" t="n">
        <v>1500000000</v>
      </c>
      <c r="R14" s="10" t="n">
        <f aca="false">Q14-P14</f>
        <v>0</v>
      </c>
      <c r="S14" s="10" t="n">
        <v>75000000</v>
      </c>
      <c r="T14" s="11" t="n">
        <f aca="false">ROUND((Q14+S14)*0.18,0)</f>
        <v>283500000</v>
      </c>
      <c r="U14" s="11" t="n">
        <f aca="false">Q14+S14+T14</f>
        <v>1858500000</v>
      </c>
      <c r="V14" s="10" t="n">
        <v>1500000000</v>
      </c>
      <c r="W14" s="8" t="s">
        <v>55</v>
      </c>
      <c r="X14" s="8" t="n">
        <v>35</v>
      </c>
      <c r="Y14" s="9" t="s">
        <v>173</v>
      </c>
      <c r="Z14" s="9" t="s">
        <v>174</v>
      </c>
    </row>
    <row r="15" customFormat="false" ht="15" hidden="false" customHeight="false" outlineLevel="0" collapsed="false">
      <c r="B15" s="8" t="s">
        <v>175</v>
      </c>
      <c r="C15" s="8" t="s">
        <v>98</v>
      </c>
      <c r="D15" s="8" t="s">
        <v>128</v>
      </c>
      <c r="E15" s="9" t="s">
        <v>100</v>
      </c>
      <c r="F15" s="8" t="n">
        <v>11</v>
      </c>
      <c r="G15" s="8" t="s">
        <v>112</v>
      </c>
      <c r="H15" s="9" t="s">
        <v>176</v>
      </c>
      <c r="I15" s="8" t="s">
        <v>103</v>
      </c>
      <c r="J15" s="8" t="s">
        <v>104</v>
      </c>
      <c r="K15" s="8" t="s">
        <v>105</v>
      </c>
      <c r="L15" s="8" t="s">
        <v>28</v>
      </c>
      <c r="M15" s="8" t="s">
        <v>133</v>
      </c>
      <c r="N15" s="8" t="s">
        <v>172</v>
      </c>
      <c r="O15" s="8" t="n">
        <v>2027</v>
      </c>
      <c r="P15" s="10" t="n">
        <v>1246000000</v>
      </c>
      <c r="Q15" s="10" t="n">
        <v>1246000000</v>
      </c>
      <c r="R15" s="10" t="n">
        <f aca="false">Q15-P15</f>
        <v>0</v>
      </c>
      <c r="S15" s="10" t="n">
        <v>62300000</v>
      </c>
      <c r="T15" s="11" t="n">
        <f aca="false">ROUND((Q15+S15)*0.18,0)</f>
        <v>235494000</v>
      </c>
      <c r="U15" s="11" t="n">
        <f aca="false">Q15+S15+T15</f>
        <v>1543794000</v>
      </c>
      <c r="V15" s="10" t="n">
        <v>1000000000</v>
      </c>
      <c r="W15" s="8" t="s">
        <v>58</v>
      </c>
      <c r="X15" s="8" t="n">
        <v>30</v>
      </c>
      <c r="Y15" s="9" t="s">
        <v>177</v>
      </c>
      <c r="Z15" s="9" t="s">
        <v>178</v>
      </c>
    </row>
    <row r="16" customFormat="false" ht="15" hidden="false" customHeight="false" outlineLevel="0" collapsed="false">
      <c r="B16" s="8" t="s">
        <v>179</v>
      </c>
      <c r="C16" s="8" t="s">
        <v>98</v>
      </c>
      <c r="D16" s="8" t="s">
        <v>147</v>
      </c>
      <c r="E16" s="9" t="s">
        <v>180</v>
      </c>
      <c r="F16" s="8" t="n">
        <v>14</v>
      </c>
      <c r="G16" s="8" t="s">
        <v>181</v>
      </c>
      <c r="H16" s="9" t="s">
        <v>182</v>
      </c>
      <c r="I16" s="8" t="s">
        <v>151</v>
      </c>
      <c r="J16" s="8" t="s">
        <v>183</v>
      </c>
      <c r="K16" s="8" t="s">
        <v>184</v>
      </c>
      <c r="L16" s="8" t="s">
        <v>28</v>
      </c>
      <c r="M16" s="8" t="s">
        <v>133</v>
      </c>
      <c r="N16" s="8" t="s">
        <v>185</v>
      </c>
      <c r="O16" s="8" t="n">
        <v>2027</v>
      </c>
      <c r="P16" s="10" t="n">
        <v>801500000</v>
      </c>
      <c r="Q16" s="10" t="n">
        <v>513000000</v>
      </c>
      <c r="R16" s="10" t="n">
        <f aca="false">Q16-P16</f>
        <v>-288500000</v>
      </c>
      <c r="S16" s="10" t="n">
        <v>17750000</v>
      </c>
      <c r="T16" s="11" t="n">
        <f aca="false">ROUND((Q16+S16)*0.18,0)</f>
        <v>95535000</v>
      </c>
      <c r="U16" s="11" t="n">
        <f aca="false">Q16+S16+T16</f>
        <v>626285000</v>
      </c>
      <c r="V16" s="10" t="n">
        <v>463000000</v>
      </c>
      <c r="W16" s="8" t="s">
        <v>55</v>
      </c>
      <c r="X16" s="8" t="n">
        <v>22</v>
      </c>
      <c r="Y16" s="9" t="s">
        <v>186</v>
      </c>
      <c r="Z16" s="9" t="s">
        <v>187</v>
      </c>
    </row>
    <row r="17" customFormat="false" ht="15" hidden="false" customHeight="false" outlineLevel="0" collapsed="false">
      <c r="B17" s="8" t="s">
        <v>188</v>
      </c>
      <c r="C17" s="8" t="s">
        <v>98</v>
      </c>
      <c r="D17" s="8" t="s">
        <v>111</v>
      </c>
      <c r="E17" s="9" t="s">
        <v>100</v>
      </c>
      <c r="F17" s="8" t="n">
        <v>11</v>
      </c>
      <c r="G17" s="8" t="s">
        <v>112</v>
      </c>
      <c r="H17" s="9" t="s">
        <v>189</v>
      </c>
      <c r="I17" s="8" t="s">
        <v>114</v>
      </c>
      <c r="J17" s="8" t="s">
        <v>160</v>
      </c>
      <c r="K17" s="8" t="s">
        <v>105</v>
      </c>
      <c r="L17" s="8" t="s">
        <v>28</v>
      </c>
      <c r="M17" s="8" t="s">
        <v>133</v>
      </c>
      <c r="N17" s="8" t="s">
        <v>190</v>
      </c>
      <c r="O17" s="8" t="n">
        <v>2027</v>
      </c>
      <c r="P17" s="10" t="n">
        <v>2800000000</v>
      </c>
      <c r="Q17" s="10" t="n">
        <v>2800000000</v>
      </c>
      <c r="R17" s="10" t="n">
        <f aca="false">Q17-P17</f>
        <v>0</v>
      </c>
      <c r="S17" s="10" t="n">
        <v>140000000</v>
      </c>
      <c r="T17" s="11" t="n">
        <f aca="false">ROUND((Q17+S17)*0.18,0)</f>
        <v>529200000</v>
      </c>
      <c r="U17" s="11" t="n">
        <f aca="false">Q17+S17+T17</f>
        <v>3469200000</v>
      </c>
      <c r="V17" s="10" t="n">
        <v>2800000000</v>
      </c>
      <c r="W17" s="8" t="s">
        <v>55</v>
      </c>
      <c r="X17" s="8" t="n">
        <v>30</v>
      </c>
      <c r="Y17" s="9" t="s">
        <v>191</v>
      </c>
      <c r="Z17" s="9"/>
    </row>
    <row r="18" customFormat="false" ht="15" hidden="false" customHeight="false" outlineLevel="0" collapsed="false">
      <c r="B18" s="8" t="s">
        <v>192</v>
      </c>
      <c r="C18" s="8" t="s">
        <v>98</v>
      </c>
      <c r="D18" s="8" t="s">
        <v>99</v>
      </c>
      <c r="E18" s="9" t="s">
        <v>100</v>
      </c>
      <c r="F18" s="8" t="n">
        <v>11</v>
      </c>
      <c r="G18" s="8" t="s">
        <v>101</v>
      </c>
      <c r="H18" s="9" t="s">
        <v>193</v>
      </c>
      <c r="I18" s="8" t="s">
        <v>103</v>
      </c>
      <c r="J18" s="8" t="s">
        <v>160</v>
      </c>
      <c r="K18" s="8" t="s">
        <v>105</v>
      </c>
      <c r="L18" s="8" t="s">
        <v>28</v>
      </c>
      <c r="M18" s="8" t="s">
        <v>133</v>
      </c>
      <c r="N18" s="8" t="s">
        <v>172</v>
      </c>
      <c r="O18" s="8" t="n">
        <v>2027</v>
      </c>
      <c r="P18" s="10" t="n">
        <v>1000000000</v>
      </c>
      <c r="Q18" s="10" t="n">
        <v>1000000000</v>
      </c>
      <c r="R18" s="10" t="n">
        <f aca="false">Q18-P18</f>
        <v>0</v>
      </c>
      <c r="S18" s="10" t="n">
        <v>50000000</v>
      </c>
      <c r="T18" s="11" t="n">
        <f aca="false">ROUND((Q18+S18)*0.18,0)</f>
        <v>189000000</v>
      </c>
      <c r="U18" s="11" t="n">
        <f aca="false">Q18+S18+T18</f>
        <v>1239000000</v>
      </c>
      <c r="V18" s="10" t="n">
        <v>1000000000</v>
      </c>
      <c r="W18" s="8" t="s">
        <v>55</v>
      </c>
      <c r="X18" s="8" t="n">
        <v>32</v>
      </c>
      <c r="Y18" s="9" t="s">
        <v>194</v>
      </c>
      <c r="Z18" s="9" t="s">
        <v>195</v>
      </c>
    </row>
    <row r="19" customFormat="false" ht="22.35" hidden="false" customHeight="false" outlineLevel="0" collapsed="false">
      <c r="B19" s="8" t="s">
        <v>196</v>
      </c>
      <c r="C19" s="8" t="s">
        <v>98</v>
      </c>
      <c r="D19" s="8" t="s">
        <v>137</v>
      </c>
      <c r="E19" s="9" t="s">
        <v>100</v>
      </c>
      <c r="F19" s="8" t="n">
        <v>11</v>
      </c>
      <c r="G19" s="8" t="s">
        <v>197</v>
      </c>
      <c r="H19" s="9" t="s">
        <v>198</v>
      </c>
      <c r="I19" s="8" t="s">
        <v>103</v>
      </c>
      <c r="J19" s="8" t="s">
        <v>160</v>
      </c>
      <c r="K19" s="8" t="s">
        <v>123</v>
      </c>
      <c r="L19" s="8" t="s">
        <v>28</v>
      </c>
      <c r="M19" s="8" t="s">
        <v>133</v>
      </c>
      <c r="N19" s="8" t="s">
        <v>199</v>
      </c>
      <c r="O19" s="8" t="n">
        <v>2027</v>
      </c>
      <c r="P19" s="10" t="n">
        <v>6169000000</v>
      </c>
      <c r="Q19" s="10" t="n">
        <v>6169000000</v>
      </c>
      <c r="R19" s="10" t="n">
        <f aca="false">Q19-P19</f>
        <v>0</v>
      </c>
      <c r="S19" s="10" t="n">
        <v>308450000</v>
      </c>
      <c r="T19" s="11" t="n">
        <f aca="false">ROUND((Q19+S19)*0.18,0)</f>
        <v>1165941000</v>
      </c>
      <c r="U19" s="11" t="n">
        <f aca="false">Q19+S19+T19</f>
        <v>7643391000</v>
      </c>
      <c r="V19" s="10" t="n">
        <v>6169000000</v>
      </c>
      <c r="W19" s="8" t="s">
        <v>55</v>
      </c>
      <c r="X19" s="8" t="s">
        <v>161</v>
      </c>
      <c r="Y19" s="9" t="s">
        <v>200</v>
      </c>
      <c r="Z19" s="9" t="s">
        <v>201</v>
      </c>
    </row>
    <row r="20" customFormat="false" ht="15" hidden="false" customHeight="false" outlineLevel="0" collapsed="false">
      <c r="B20" s="8" t="s">
        <v>202</v>
      </c>
      <c r="C20" s="8" t="s">
        <v>98</v>
      </c>
      <c r="D20" s="8" t="s">
        <v>128</v>
      </c>
      <c r="E20" s="9" t="s">
        <v>180</v>
      </c>
      <c r="F20" s="8" t="n">
        <v>14</v>
      </c>
      <c r="G20" s="8" t="s">
        <v>129</v>
      </c>
      <c r="H20" s="9" t="s">
        <v>203</v>
      </c>
      <c r="I20" s="8" t="s">
        <v>131</v>
      </c>
      <c r="J20" s="8" t="s">
        <v>160</v>
      </c>
      <c r="K20" s="8" t="s">
        <v>123</v>
      </c>
      <c r="L20" s="8" t="s">
        <v>28</v>
      </c>
      <c r="M20" s="8" t="s">
        <v>133</v>
      </c>
      <c r="N20" s="8" t="s">
        <v>190</v>
      </c>
      <c r="O20" s="8" t="n">
        <v>2027</v>
      </c>
      <c r="P20" s="10" t="n">
        <v>300000000</v>
      </c>
      <c r="Q20" s="10" t="n">
        <v>300000000</v>
      </c>
      <c r="R20" s="10" t="n">
        <f aca="false">Q20-P20</f>
        <v>0</v>
      </c>
      <c r="S20" s="10" t="n">
        <v>15000000</v>
      </c>
      <c r="T20" s="11" t="n">
        <f aca="false">ROUND((Q20+S20)*0.18,0)</f>
        <v>56700000</v>
      </c>
      <c r="U20" s="11" t="n">
        <f aca="false">Q20+S20+T20</f>
        <v>371700000</v>
      </c>
      <c r="V20" s="10" t="n">
        <v>300000000</v>
      </c>
      <c r="W20" s="8" t="s">
        <v>55</v>
      </c>
      <c r="X20" s="8" t="s">
        <v>161</v>
      </c>
      <c r="Y20" s="9" t="s">
        <v>204</v>
      </c>
      <c r="Z20" s="9"/>
    </row>
    <row r="21" customFormat="false" ht="15" hidden="false" customHeight="false" outlineLevel="0" collapsed="false">
      <c r="B21" s="8" t="s">
        <v>205</v>
      </c>
      <c r="C21" s="8" t="s">
        <v>98</v>
      </c>
      <c r="D21" s="8" t="s">
        <v>111</v>
      </c>
      <c r="E21" s="9" t="s">
        <v>100</v>
      </c>
      <c r="F21" s="8" t="n">
        <v>11</v>
      </c>
      <c r="G21" s="8" t="s">
        <v>112</v>
      </c>
      <c r="H21" s="9" t="s">
        <v>206</v>
      </c>
      <c r="I21" s="8" t="s">
        <v>114</v>
      </c>
      <c r="J21" s="8" t="s">
        <v>160</v>
      </c>
      <c r="K21" s="8" t="s">
        <v>105</v>
      </c>
      <c r="L21" s="8" t="s">
        <v>28</v>
      </c>
      <c r="M21" s="8" t="s">
        <v>207</v>
      </c>
      <c r="N21" s="8" t="s">
        <v>199</v>
      </c>
      <c r="O21" s="8" t="n">
        <v>2028</v>
      </c>
      <c r="P21" s="10" t="n">
        <v>2800000000</v>
      </c>
      <c r="Q21" s="10" t="n">
        <v>2800000000</v>
      </c>
      <c r="R21" s="10" t="n">
        <f aca="false">Q21-P21</f>
        <v>0</v>
      </c>
      <c r="S21" s="10" t="n">
        <v>140000000</v>
      </c>
      <c r="T21" s="11" t="n">
        <f aca="false">ROUND((Q21+S21)*0.18,0)</f>
        <v>529200000</v>
      </c>
      <c r="U21" s="11" t="n">
        <f aca="false">Q21+S21+T21</f>
        <v>3469200000</v>
      </c>
      <c r="V21" s="10" t="n">
        <v>2800000000</v>
      </c>
      <c r="W21" s="8" t="s">
        <v>55</v>
      </c>
      <c r="X21" s="8" t="n">
        <v>30</v>
      </c>
      <c r="Y21" s="9" t="s">
        <v>208</v>
      </c>
      <c r="Z21" s="9"/>
    </row>
    <row r="22" customFormat="false" ht="15" hidden="false" customHeight="false" outlineLevel="0" collapsed="false">
      <c r="B22" s="8" t="s">
        <v>209</v>
      </c>
      <c r="C22" s="8" t="s">
        <v>98</v>
      </c>
      <c r="D22" s="8" t="s">
        <v>99</v>
      </c>
      <c r="E22" s="9" t="s">
        <v>100</v>
      </c>
      <c r="F22" s="8" t="n">
        <v>11</v>
      </c>
      <c r="G22" s="8" t="s">
        <v>101</v>
      </c>
      <c r="H22" s="9" t="s">
        <v>210</v>
      </c>
      <c r="I22" s="8" t="s">
        <v>103</v>
      </c>
      <c r="J22" s="8" t="s">
        <v>160</v>
      </c>
      <c r="K22" s="8" t="s">
        <v>105</v>
      </c>
      <c r="L22" s="8" t="s">
        <v>28</v>
      </c>
      <c r="M22" s="8" t="s">
        <v>207</v>
      </c>
      <c r="N22" s="8" t="s">
        <v>211</v>
      </c>
      <c r="O22" s="8" t="n">
        <v>2028</v>
      </c>
      <c r="P22" s="10" t="n">
        <v>1000000000</v>
      </c>
      <c r="Q22" s="10" t="n">
        <v>1000000000</v>
      </c>
      <c r="R22" s="10" t="n">
        <f aca="false">Q22-P22</f>
        <v>0</v>
      </c>
      <c r="S22" s="10" t="n">
        <v>50000000</v>
      </c>
      <c r="T22" s="11" t="n">
        <f aca="false">ROUND((Q22+S22)*0.18,0)</f>
        <v>189000000</v>
      </c>
      <c r="U22" s="11" t="n">
        <f aca="false">Q22+S22+T22</f>
        <v>1239000000</v>
      </c>
      <c r="V22" s="10" t="n">
        <v>1000000000</v>
      </c>
      <c r="W22" s="8" t="s">
        <v>55</v>
      </c>
      <c r="X22" s="8" t="n">
        <v>32</v>
      </c>
      <c r="Y22" s="9" t="s">
        <v>212</v>
      </c>
      <c r="Z22" s="9" t="s">
        <v>213</v>
      </c>
    </row>
    <row r="23" customFormat="false" ht="15" hidden="false" customHeight="false" outlineLevel="0" collapsed="false">
      <c r="B23" s="8" t="s">
        <v>214</v>
      </c>
      <c r="C23" s="8" t="s">
        <v>98</v>
      </c>
      <c r="D23" s="8" t="s">
        <v>111</v>
      </c>
      <c r="E23" s="9" t="s">
        <v>100</v>
      </c>
      <c r="F23" s="8" t="n">
        <v>11</v>
      </c>
      <c r="G23" s="8" t="s">
        <v>157</v>
      </c>
      <c r="H23" s="9" t="s">
        <v>215</v>
      </c>
      <c r="I23" s="8" t="s">
        <v>103</v>
      </c>
      <c r="J23" s="8" t="s">
        <v>160</v>
      </c>
      <c r="K23" s="8" t="s">
        <v>105</v>
      </c>
      <c r="L23" s="8" t="s">
        <v>28</v>
      </c>
      <c r="M23" s="8" t="s">
        <v>207</v>
      </c>
      <c r="N23" s="8" t="s">
        <v>211</v>
      </c>
      <c r="O23" s="8" t="n">
        <v>2028</v>
      </c>
      <c r="P23" s="10" t="n">
        <v>1500000000</v>
      </c>
      <c r="Q23" s="10" t="n">
        <v>1500000000</v>
      </c>
      <c r="R23" s="10" t="n">
        <f aca="false">Q23-P23</f>
        <v>0</v>
      </c>
      <c r="S23" s="10" t="n">
        <v>75000000</v>
      </c>
      <c r="T23" s="11" t="n">
        <f aca="false">ROUND((Q23+S23)*0.18,0)</f>
        <v>283500000</v>
      </c>
      <c r="U23" s="11" t="n">
        <f aca="false">Q23+S23+T23</f>
        <v>1858500000</v>
      </c>
      <c r="V23" s="10" t="n">
        <v>1500000000</v>
      </c>
      <c r="W23" s="8" t="s">
        <v>55</v>
      </c>
      <c r="X23" s="8" t="n">
        <v>35</v>
      </c>
      <c r="Y23" s="9" t="s">
        <v>216</v>
      </c>
      <c r="Z23" s="9"/>
    </row>
    <row r="24" customFormat="false" ht="15" hidden="false" customHeight="false" outlineLevel="0" collapsed="false">
      <c r="B24" s="8" t="s">
        <v>217</v>
      </c>
      <c r="C24" s="8" t="s">
        <v>98</v>
      </c>
      <c r="D24" s="8" t="s">
        <v>128</v>
      </c>
      <c r="E24" s="9" t="s">
        <v>100</v>
      </c>
      <c r="F24" s="8" t="n">
        <v>11</v>
      </c>
      <c r="G24" s="8" t="s">
        <v>129</v>
      </c>
      <c r="H24" s="9" t="s">
        <v>218</v>
      </c>
      <c r="I24" s="8" t="s">
        <v>103</v>
      </c>
      <c r="J24" s="8" t="s">
        <v>160</v>
      </c>
      <c r="K24" s="8" t="s">
        <v>105</v>
      </c>
      <c r="L24" s="8" t="s">
        <v>28</v>
      </c>
      <c r="M24" s="8" t="s">
        <v>207</v>
      </c>
      <c r="N24" s="8" t="s">
        <v>211</v>
      </c>
      <c r="O24" s="8" t="n">
        <v>2028</v>
      </c>
      <c r="P24" s="10" t="n">
        <v>1000000000</v>
      </c>
      <c r="Q24" s="10" t="n">
        <v>1000000000</v>
      </c>
      <c r="R24" s="10" t="n">
        <f aca="false">Q24-P24</f>
        <v>0</v>
      </c>
      <c r="S24" s="10" t="n">
        <v>50000000</v>
      </c>
      <c r="T24" s="11" t="n">
        <f aca="false">ROUND((Q24+S24)*0.18,0)</f>
        <v>189000000</v>
      </c>
      <c r="U24" s="11" t="n">
        <f aca="false">Q24+S24+T24</f>
        <v>1239000000</v>
      </c>
      <c r="V24" s="10" t="n">
        <v>1000000000</v>
      </c>
      <c r="W24" s="8" t="s">
        <v>55</v>
      </c>
      <c r="X24" s="8" t="n">
        <v>30</v>
      </c>
      <c r="Y24" s="9" t="s">
        <v>219</v>
      </c>
      <c r="Z24" s="9"/>
    </row>
    <row r="25" customFormat="false" ht="15" hidden="false" customHeight="false" outlineLevel="0" collapsed="false">
      <c r="B25" s="8" t="s">
        <v>220</v>
      </c>
      <c r="C25" s="8" t="s">
        <v>98</v>
      </c>
      <c r="D25" s="8" t="s">
        <v>137</v>
      </c>
      <c r="E25" s="9" t="s">
        <v>165</v>
      </c>
      <c r="F25" s="8" t="n">
        <v>15</v>
      </c>
      <c r="G25" s="8" t="s">
        <v>221</v>
      </c>
      <c r="H25" s="9" t="s">
        <v>222</v>
      </c>
      <c r="I25" s="8" t="s">
        <v>103</v>
      </c>
      <c r="J25" s="8" t="s">
        <v>160</v>
      </c>
      <c r="K25" s="8" t="s">
        <v>123</v>
      </c>
      <c r="L25" s="8" t="s">
        <v>28</v>
      </c>
      <c r="M25" s="8" t="s">
        <v>207</v>
      </c>
      <c r="N25" s="8" t="s">
        <v>223</v>
      </c>
      <c r="O25" s="8" t="n">
        <v>2028</v>
      </c>
      <c r="P25" s="10" t="n">
        <v>4021000000</v>
      </c>
      <c r="Q25" s="10" t="n">
        <v>4021000000</v>
      </c>
      <c r="R25" s="10" t="n">
        <f aca="false">Q25-P25</f>
        <v>0</v>
      </c>
      <c r="S25" s="10" t="n">
        <v>201050000</v>
      </c>
      <c r="T25" s="11" t="n">
        <f aca="false">ROUND((Q25+S25)*0.18,0)</f>
        <v>759969000</v>
      </c>
      <c r="U25" s="11" t="n">
        <f aca="false">Q25+S25+T25</f>
        <v>4982019000</v>
      </c>
      <c r="V25" s="10" t="n">
        <v>4021000000</v>
      </c>
      <c r="W25" s="8" t="s">
        <v>55</v>
      </c>
      <c r="X25" s="8" t="s">
        <v>161</v>
      </c>
      <c r="Y25" s="9" t="s">
        <v>224</v>
      </c>
      <c r="Z25" s="9" t="s">
        <v>225</v>
      </c>
    </row>
    <row r="26" customFormat="false" ht="15" hidden="false" customHeight="false" outlineLevel="0" collapsed="false">
      <c r="B26" s="8" t="s">
        <v>226</v>
      </c>
      <c r="C26" s="8" t="s">
        <v>98</v>
      </c>
      <c r="D26" s="8" t="s">
        <v>147</v>
      </c>
      <c r="E26" s="9" t="s">
        <v>227</v>
      </c>
      <c r="F26" s="8" t="n">
        <v>12</v>
      </c>
      <c r="G26" s="8" t="s">
        <v>228</v>
      </c>
      <c r="H26" s="9" t="s">
        <v>229</v>
      </c>
      <c r="I26" s="8" t="s">
        <v>230</v>
      </c>
      <c r="J26" s="8" t="s">
        <v>160</v>
      </c>
      <c r="K26" s="8" t="s">
        <v>123</v>
      </c>
      <c r="L26" s="8" t="s">
        <v>28</v>
      </c>
      <c r="M26" s="8" t="s">
        <v>207</v>
      </c>
      <c r="N26" s="8" t="s">
        <v>199</v>
      </c>
      <c r="O26" s="8" t="n">
        <v>2028</v>
      </c>
      <c r="P26" s="10" t="n">
        <v>400000000</v>
      </c>
      <c r="Q26" s="10" t="n">
        <v>400000000</v>
      </c>
      <c r="R26" s="10" t="n">
        <f aca="false">Q26-P26</f>
        <v>0</v>
      </c>
      <c r="S26" s="10" t="n">
        <v>20000000</v>
      </c>
      <c r="T26" s="11" t="n">
        <f aca="false">ROUND((Q26+S26)*0.18,0)</f>
        <v>75600000</v>
      </c>
      <c r="U26" s="11" t="n">
        <f aca="false">Q26+S26+T26</f>
        <v>495600000</v>
      </c>
      <c r="V26" s="10" t="n">
        <v>400000000</v>
      </c>
      <c r="W26" s="8" t="s">
        <v>55</v>
      </c>
      <c r="X26" s="8" t="s">
        <v>161</v>
      </c>
      <c r="Y26" s="9" t="s">
        <v>231</v>
      </c>
      <c r="Z26" s="9" t="s">
        <v>232</v>
      </c>
    </row>
    <row r="27" customFormat="false" ht="15" hidden="false" customHeight="false" outlineLevel="0" collapsed="false">
      <c r="B27" s="8" t="s">
        <v>233</v>
      </c>
      <c r="C27" s="8" t="s">
        <v>98</v>
      </c>
      <c r="D27" s="8" t="s">
        <v>128</v>
      </c>
      <c r="E27" s="9" t="s">
        <v>100</v>
      </c>
      <c r="F27" s="8" t="n">
        <v>11</v>
      </c>
      <c r="G27" s="8" t="s">
        <v>129</v>
      </c>
      <c r="H27" s="9" t="s">
        <v>234</v>
      </c>
      <c r="I27" s="8" t="s">
        <v>131</v>
      </c>
      <c r="J27" s="8" t="s">
        <v>160</v>
      </c>
      <c r="K27" s="8" t="s">
        <v>123</v>
      </c>
      <c r="L27" s="8" t="s">
        <v>28</v>
      </c>
      <c r="M27" s="8" t="s">
        <v>207</v>
      </c>
      <c r="N27" s="8" t="s">
        <v>199</v>
      </c>
      <c r="O27" s="8" t="n">
        <v>2028</v>
      </c>
      <c r="P27" s="10" t="n">
        <v>300000000</v>
      </c>
      <c r="Q27" s="10" t="n">
        <v>300000000</v>
      </c>
      <c r="R27" s="10" t="n">
        <f aca="false">Q27-P27</f>
        <v>0</v>
      </c>
      <c r="S27" s="10" t="n">
        <v>15000000</v>
      </c>
      <c r="T27" s="11" t="n">
        <f aca="false">ROUND((Q27+S27)*0.18,0)</f>
        <v>56700000</v>
      </c>
      <c r="U27" s="11" t="n">
        <f aca="false">Q27+S27+T27</f>
        <v>371700000</v>
      </c>
      <c r="V27" s="10" t="n">
        <v>300000000</v>
      </c>
      <c r="W27" s="8" t="s">
        <v>55</v>
      </c>
      <c r="X27" s="8" t="s">
        <v>161</v>
      </c>
      <c r="Y27" s="9" t="s">
        <v>235</v>
      </c>
      <c r="Z27" s="9"/>
    </row>
    <row r="28" customFormat="false" ht="15" hidden="false" customHeight="false" outlineLevel="0" collapsed="false">
      <c r="B28" s="8" t="s">
        <v>236</v>
      </c>
      <c r="C28" s="8" t="s">
        <v>98</v>
      </c>
      <c r="D28" s="8" t="s">
        <v>111</v>
      </c>
      <c r="E28" s="9" t="s">
        <v>100</v>
      </c>
      <c r="F28" s="8" t="n">
        <v>11</v>
      </c>
      <c r="G28" s="8" t="s">
        <v>112</v>
      </c>
      <c r="H28" s="9" t="s">
        <v>237</v>
      </c>
      <c r="I28" s="8" t="s">
        <v>114</v>
      </c>
      <c r="J28" s="8" t="s">
        <v>160</v>
      </c>
      <c r="K28" s="8" t="s">
        <v>105</v>
      </c>
      <c r="L28" s="8" t="s">
        <v>28</v>
      </c>
      <c r="M28" s="8" t="s">
        <v>238</v>
      </c>
      <c r="N28" s="8" t="s">
        <v>239</v>
      </c>
      <c r="O28" s="8" t="n">
        <v>2029</v>
      </c>
      <c r="P28" s="10" t="n">
        <v>2800000000</v>
      </c>
      <c r="Q28" s="10" t="n">
        <v>2800000000</v>
      </c>
      <c r="R28" s="10" t="n">
        <f aca="false">Q28-P28</f>
        <v>0</v>
      </c>
      <c r="S28" s="10" t="n">
        <v>140000000</v>
      </c>
      <c r="T28" s="11" t="n">
        <f aca="false">ROUND((Q28+S28)*0.18,0)</f>
        <v>529200000</v>
      </c>
      <c r="U28" s="11" t="n">
        <f aca="false">Q28+S28+T28</f>
        <v>3469200000</v>
      </c>
      <c r="V28" s="10" t="n">
        <v>2800000000</v>
      </c>
      <c r="W28" s="8" t="s">
        <v>55</v>
      </c>
      <c r="X28" s="8" t="n">
        <v>30</v>
      </c>
      <c r="Y28" s="9" t="s">
        <v>240</v>
      </c>
      <c r="Z28" s="9" t="s">
        <v>241</v>
      </c>
    </row>
    <row r="29" customFormat="false" ht="15" hidden="false" customHeight="false" outlineLevel="0" collapsed="false">
      <c r="B29" s="8" t="s">
        <v>242</v>
      </c>
      <c r="C29" s="8" t="s">
        <v>98</v>
      </c>
      <c r="D29" s="8" t="s">
        <v>111</v>
      </c>
      <c r="E29" s="9" t="s">
        <v>100</v>
      </c>
      <c r="F29" s="8" t="n">
        <v>11</v>
      </c>
      <c r="G29" s="8" t="s">
        <v>157</v>
      </c>
      <c r="H29" s="9" t="s">
        <v>243</v>
      </c>
      <c r="I29" s="8" t="s">
        <v>103</v>
      </c>
      <c r="J29" s="8" t="s">
        <v>160</v>
      </c>
      <c r="K29" s="8" t="s">
        <v>105</v>
      </c>
      <c r="L29" s="8" t="s">
        <v>28</v>
      </c>
      <c r="M29" s="8" t="s">
        <v>238</v>
      </c>
      <c r="N29" s="8" t="s">
        <v>244</v>
      </c>
      <c r="O29" s="8" t="n">
        <v>2029</v>
      </c>
      <c r="P29" s="10" t="n">
        <v>1500000000</v>
      </c>
      <c r="Q29" s="10" t="n">
        <v>1500000000</v>
      </c>
      <c r="R29" s="10" t="n">
        <f aca="false">Q29-P29</f>
        <v>0</v>
      </c>
      <c r="S29" s="10" t="n">
        <v>75000000</v>
      </c>
      <c r="T29" s="11" t="n">
        <f aca="false">ROUND((Q29+S29)*0.18,0)</f>
        <v>283500000</v>
      </c>
      <c r="U29" s="11" t="n">
        <f aca="false">Q29+S29+T29</f>
        <v>1858500000</v>
      </c>
      <c r="V29" s="10" t="n">
        <v>1500000000</v>
      </c>
      <c r="W29" s="8" t="s">
        <v>55</v>
      </c>
      <c r="X29" s="8" t="n">
        <v>35</v>
      </c>
      <c r="Y29" s="9" t="s">
        <v>245</v>
      </c>
      <c r="Z29" s="9" t="s">
        <v>246</v>
      </c>
    </row>
    <row r="30" customFormat="false" ht="15" hidden="false" customHeight="false" outlineLevel="0" collapsed="false">
      <c r="B30" s="8" t="s">
        <v>247</v>
      </c>
      <c r="C30" s="8" t="s">
        <v>98</v>
      </c>
      <c r="D30" s="8" t="s">
        <v>128</v>
      </c>
      <c r="E30" s="9" t="s">
        <v>100</v>
      </c>
      <c r="F30" s="8" t="n">
        <v>11</v>
      </c>
      <c r="G30" s="8" t="s">
        <v>129</v>
      </c>
      <c r="H30" s="9" t="s">
        <v>248</v>
      </c>
      <c r="I30" s="8" t="s">
        <v>103</v>
      </c>
      <c r="J30" s="8" t="s">
        <v>160</v>
      </c>
      <c r="K30" s="8" t="s">
        <v>105</v>
      </c>
      <c r="L30" s="8" t="s">
        <v>28</v>
      </c>
      <c r="M30" s="8" t="s">
        <v>238</v>
      </c>
      <c r="N30" s="8" t="s">
        <v>244</v>
      </c>
      <c r="O30" s="8" t="n">
        <v>2029</v>
      </c>
      <c r="P30" s="10" t="n">
        <v>1000000000</v>
      </c>
      <c r="Q30" s="10" t="n">
        <v>1000000000</v>
      </c>
      <c r="R30" s="10" t="n">
        <f aca="false">Q30-P30</f>
        <v>0</v>
      </c>
      <c r="S30" s="10" t="n">
        <v>50000000</v>
      </c>
      <c r="T30" s="11" t="n">
        <f aca="false">ROUND((Q30+S30)*0.18,0)</f>
        <v>189000000</v>
      </c>
      <c r="U30" s="11" t="n">
        <f aca="false">Q30+S30+T30</f>
        <v>1239000000</v>
      </c>
      <c r="V30" s="10" t="n">
        <v>1000000000</v>
      </c>
      <c r="W30" s="8" t="s">
        <v>55</v>
      </c>
      <c r="X30" s="8" t="n">
        <v>30</v>
      </c>
      <c r="Y30" s="9" t="s">
        <v>249</v>
      </c>
      <c r="Z30" s="9"/>
    </row>
    <row r="31" customFormat="false" ht="43.25" hidden="false" customHeight="false" outlineLevel="0" collapsed="false">
      <c r="B31" s="15" t="s">
        <v>250</v>
      </c>
      <c r="C31" s="15" t="s">
        <v>98</v>
      </c>
      <c r="D31" s="15" t="s">
        <v>99</v>
      </c>
      <c r="E31" s="16" t="s">
        <v>100</v>
      </c>
      <c r="F31" s="15" t="n">
        <v>11</v>
      </c>
      <c r="G31" s="15" t="s">
        <v>157</v>
      </c>
      <c r="H31" s="16" t="s">
        <v>251</v>
      </c>
      <c r="I31" s="15" t="s">
        <v>252</v>
      </c>
      <c r="J31" s="15" t="s">
        <v>253</v>
      </c>
      <c r="K31" s="15" t="s">
        <v>105</v>
      </c>
      <c r="L31" s="15" t="s">
        <v>46</v>
      </c>
      <c r="M31" s="15" t="s">
        <v>106</v>
      </c>
      <c r="N31" s="15" t="s">
        <v>133</v>
      </c>
      <c r="O31" s="15" t="n">
        <v>2026</v>
      </c>
      <c r="P31" s="17" t="n">
        <v>235489640</v>
      </c>
      <c r="Q31" s="17" t="n">
        <v>235489640</v>
      </c>
      <c r="R31" s="17" t="n">
        <f aca="false">Q31-P31</f>
        <v>0</v>
      </c>
      <c r="S31" s="17" t="n">
        <v>11774482</v>
      </c>
      <c r="T31" s="11" t="n">
        <f aca="false">ROUND((Q31+S31)*0.18,0)</f>
        <v>44507542</v>
      </c>
      <c r="U31" s="11" t="n">
        <f aca="false">Q31+S31+T31</f>
        <v>291771664</v>
      </c>
      <c r="V31" s="17" t="n">
        <v>500000000</v>
      </c>
      <c r="W31" s="15" t="s">
        <v>58</v>
      </c>
      <c r="X31" s="15" t="n">
        <v>23</v>
      </c>
      <c r="Y31" s="16" t="s">
        <v>254</v>
      </c>
      <c r="Z31" s="16" t="s">
        <v>255</v>
      </c>
    </row>
    <row r="32" customFormat="false" ht="22.35" hidden="false" customHeight="false" outlineLevel="0" collapsed="false">
      <c r="B32" s="15" t="s">
        <v>256</v>
      </c>
      <c r="C32" s="15" t="s">
        <v>98</v>
      </c>
      <c r="D32" s="15" t="s">
        <v>111</v>
      </c>
      <c r="E32" s="16" t="s">
        <v>100</v>
      </c>
      <c r="F32" s="15" t="n">
        <v>11</v>
      </c>
      <c r="G32" s="15" t="s">
        <v>112</v>
      </c>
      <c r="H32" s="16" t="s">
        <v>257</v>
      </c>
      <c r="I32" s="15" t="s">
        <v>114</v>
      </c>
      <c r="J32" s="15" t="s">
        <v>160</v>
      </c>
      <c r="K32" s="15" t="s">
        <v>105</v>
      </c>
      <c r="L32" s="15" t="s">
        <v>46</v>
      </c>
      <c r="M32" s="15" t="s">
        <v>106</v>
      </c>
      <c r="N32" s="15" t="s">
        <v>239</v>
      </c>
      <c r="O32" s="15" t="n">
        <v>2026</v>
      </c>
      <c r="P32" s="17" t="n">
        <v>500000000</v>
      </c>
      <c r="Q32" s="17" t="n">
        <v>500000000</v>
      </c>
      <c r="R32" s="17" t="n">
        <f aca="false">Q32-P32</f>
        <v>0</v>
      </c>
      <c r="S32" s="17" t="n">
        <v>25000000</v>
      </c>
      <c r="T32" s="11" t="n">
        <f aca="false">ROUND((Q32+S32)*0.18,0)</f>
        <v>94500000</v>
      </c>
      <c r="U32" s="11" t="n">
        <f aca="false">Q32+S32+T32</f>
        <v>619500000</v>
      </c>
      <c r="V32" s="17" t="n">
        <v>500000000</v>
      </c>
      <c r="W32" s="15" t="s">
        <v>55</v>
      </c>
      <c r="X32" s="15" t="s">
        <v>161</v>
      </c>
      <c r="Y32" s="16" t="s">
        <v>258</v>
      </c>
      <c r="Z32" s="16" t="s">
        <v>259</v>
      </c>
    </row>
    <row r="33" customFormat="false" ht="15" hidden="false" customHeight="false" outlineLevel="0" collapsed="false">
      <c r="B33" s="15" t="s">
        <v>260</v>
      </c>
      <c r="C33" s="15" t="s">
        <v>98</v>
      </c>
      <c r="D33" s="15" t="s">
        <v>99</v>
      </c>
      <c r="E33" s="16" t="s">
        <v>100</v>
      </c>
      <c r="F33" s="15" t="n">
        <v>11</v>
      </c>
      <c r="G33" s="15" t="s">
        <v>157</v>
      </c>
      <c r="H33" s="16" t="s">
        <v>261</v>
      </c>
      <c r="I33" s="15" t="s">
        <v>230</v>
      </c>
      <c r="J33" s="15" t="s">
        <v>160</v>
      </c>
      <c r="K33" s="15" t="s">
        <v>105</v>
      </c>
      <c r="L33" s="15" t="s">
        <v>46</v>
      </c>
      <c r="M33" s="15" t="s">
        <v>106</v>
      </c>
      <c r="N33" s="15" t="s">
        <v>239</v>
      </c>
      <c r="O33" s="15" t="n">
        <v>2026</v>
      </c>
      <c r="P33" s="17" t="n">
        <v>264510360</v>
      </c>
      <c r="Q33" s="17" t="n">
        <v>264510360</v>
      </c>
      <c r="R33" s="17" t="n">
        <f aca="false">Q33-P33</f>
        <v>0</v>
      </c>
      <c r="S33" s="17" t="n">
        <v>13225518</v>
      </c>
      <c r="T33" s="11" t="n">
        <f aca="false">ROUND((Q33+S33)*0.18,0)</f>
        <v>49992458</v>
      </c>
      <c r="U33" s="11" t="n">
        <f aca="false">Q33+S33+T33</f>
        <v>327728336</v>
      </c>
      <c r="V33" s="17" t="n">
        <v>0</v>
      </c>
      <c r="W33" s="15" t="s">
        <v>55</v>
      </c>
      <c r="X33" s="15" t="s">
        <v>161</v>
      </c>
      <c r="Y33" s="16" t="s">
        <v>262</v>
      </c>
      <c r="Z33" s="16" t="s">
        <v>259</v>
      </c>
    </row>
    <row r="34" customFormat="false" ht="15" hidden="false" customHeight="false" outlineLevel="0" collapsed="false">
      <c r="B34" s="18"/>
      <c r="C34" s="18"/>
      <c r="D34" s="18"/>
      <c r="E34" s="18"/>
      <c r="F34" s="18"/>
      <c r="G34" s="18"/>
      <c r="H34" s="19" t="s">
        <v>263</v>
      </c>
      <c r="I34" s="18"/>
      <c r="J34" s="18"/>
      <c r="K34" s="18"/>
      <c r="L34" s="18"/>
      <c r="M34" s="18"/>
      <c r="N34" s="18"/>
      <c r="O34" s="18"/>
      <c r="P34" s="20" t="n">
        <f aca="false">SUM(P6:P33)</f>
        <v>39829912544</v>
      </c>
      <c r="Q34" s="20" t="n">
        <f aca="false">SUM(Q6:Q33)</f>
        <v>38705433765</v>
      </c>
      <c r="R34" s="20" t="n">
        <f aca="false">SUM(R6:R33)</f>
        <v>-1124478779</v>
      </c>
      <c r="S34" s="20" t="n">
        <f aca="false">SUM(S6:S33)</f>
        <v>1811891592</v>
      </c>
      <c r="T34" s="20" t="n">
        <f aca="false">SUM(T6:T33)</f>
        <v>7293118564</v>
      </c>
      <c r="U34" s="20" t="n">
        <f aca="false">SUM(U6:U33)</f>
        <v>47810443921</v>
      </c>
      <c r="V34" s="20" t="n">
        <f aca="false">SUM(V6:V33)</f>
        <v>37669000000</v>
      </c>
      <c r="W34" s="18"/>
      <c r="X34" s="18"/>
      <c r="Y34" s="18"/>
      <c r="Z34" s="18"/>
    </row>
  </sheetData>
  <mergeCells count="2">
    <mergeCell ref="B2:Z2"/>
    <mergeCell ref="B3:Z3"/>
  </mergeCells>
  <dataValidations count="2">
    <dataValidation allowBlank="true" errorStyle="stop" operator="between" showDropDown="false" showErrorMessage="false" showInputMessage="false" sqref="L6:L33" type="list">
      <formula1>"Plan,Cadrage,Approuvé,Engagé,En exécution,Clôturé,Hors périmètre"</formula1>
      <formula2>0</formula2>
    </dataValidation>
    <dataValidation allowBlank="true" errorStyle="stop" operator="between" showDropDown="false" showErrorMessage="false" showInputMessage="false" sqref="W6:W33" type="list">
      <formula1>"Contrat,Offres,Devis,Plan KPMG,Estimation"</formula1>
      <formula2>0</formula2>
    </dataValidation>
  </dataValidations>
  <printOptions headings="false" gridLines="false" gridLinesSet="true" horizontalCentered="false" verticalCentered="false"/>
  <pageMargins left="0.2" right="0.2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S6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56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16"/>
    <col collapsed="false" customWidth="true" hidden="false" outlineLevel="0" max="17" min="17" style="0" width="54"/>
    <col collapsed="false" customWidth="true" hidden="false" outlineLevel="0" max="18" min="18" style="0" width="16"/>
    <col collapsed="false" customWidth="true" hidden="false" outlineLevel="0" max="19" min="19" style="0" width="11"/>
  </cols>
  <sheetData>
    <row r="2" customFormat="false" ht="30" hidden="false" customHeight="true" outlineLevel="0" collapsed="false">
      <c r="B2" s="1" t="s">
        <v>264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45.75" hidden="false" customHeight="true" outlineLevel="0" collapsed="false">
      <c r="B3" s="2" t="s">
        <v>265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30" hidden="false" customHeight="true" outlineLevel="0" collapsed="false">
      <c r="B5" s="7" t="s">
        <v>266</v>
      </c>
      <c r="C5" s="7" t="s">
        <v>267</v>
      </c>
      <c r="D5" s="7" t="s">
        <v>268</v>
      </c>
      <c r="E5" s="7" t="s">
        <v>269</v>
      </c>
      <c r="F5" s="7" t="s">
        <v>270</v>
      </c>
      <c r="G5" s="7" t="s">
        <v>271</v>
      </c>
      <c r="H5" s="7" t="s">
        <v>272</v>
      </c>
      <c r="I5" s="7" t="s">
        <v>273</v>
      </c>
      <c r="J5" s="7" t="s">
        <v>274</v>
      </c>
      <c r="K5" s="7" t="s">
        <v>275</v>
      </c>
      <c r="L5" s="7" t="s">
        <v>276</v>
      </c>
      <c r="M5" s="7" t="s">
        <v>10</v>
      </c>
      <c r="N5" s="7" t="s">
        <v>90</v>
      </c>
      <c r="O5" s="7" t="s">
        <v>15</v>
      </c>
      <c r="P5" s="7" t="s">
        <v>91</v>
      </c>
      <c r="Q5" s="7" t="s">
        <v>95</v>
      </c>
      <c r="R5" s="7" t="s">
        <v>277</v>
      </c>
      <c r="S5" s="7" t="s">
        <v>278</v>
      </c>
    </row>
    <row r="6" customFormat="false" ht="15" hidden="false" customHeight="false" outlineLevel="0" collapsed="false">
      <c r="B6" s="8" t="s">
        <v>250</v>
      </c>
      <c r="C6" s="8" t="s">
        <v>279</v>
      </c>
      <c r="D6" s="9" t="s">
        <v>280</v>
      </c>
      <c r="E6" s="8" t="s">
        <v>81</v>
      </c>
      <c r="F6" s="8" t="s">
        <v>281</v>
      </c>
      <c r="G6" s="9" t="s">
        <v>282</v>
      </c>
      <c r="H6" s="21" t="n">
        <v>3</v>
      </c>
      <c r="I6" s="8"/>
      <c r="J6" s="8"/>
      <c r="K6" s="21" t="n">
        <v>1</v>
      </c>
      <c r="L6" s="21" t="n">
        <v>3</v>
      </c>
      <c r="M6" s="10" t="n">
        <v>4000000</v>
      </c>
      <c r="N6" s="10" t="n">
        <v>0</v>
      </c>
      <c r="O6" s="11" t="n">
        <f aca="false">ROUND((M6+N6)*0.18,0)</f>
        <v>720000</v>
      </c>
      <c r="P6" s="11" t="n">
        <f aca="false">M6+N6+O6</f>
        <v>4720000</v>
      </c>
      <c r="Q6" s="9" t="s">
        <v>283</v>
      </c>
      <c r="R6" s="8" t="s">
        <v>284</v>
      </c>
      <c r="S6" s="8" t="s">
        <v>285</v>
      </c>
    </row>
    <row r="7" customFormat="false" ht="15" hidden="false" customHeight="false" outlineLevel="0" collapsed="false">
      <c r="B7" s="8" t="s">
        <v>250</v>
      </c>
      <c r="C7" s="8" t="s">
        <v>279</v>
      </c>
      <c r="D7" s="9" t="s">
        <v>280</v>
      </c>
      <c r="E7" s="8" t="s">
        <v>81</v>
      </c>
      <c r="F7" s="8" t="s">
        <v>286</v>
      </c>
      <c r="G7" s="9" t="s">
        <v>287</v>
      </c>
      <c r="H7" s="21" t="n">
        <v>3</v>
      </c>
      <c r="I7" s="8" t="s">
        <v>288</v>
      </c>
      <c r="J7" s="8" t="s">
        <v>281</v>
      </c>
      <c r="K7" s="21" t="n">
        <v>4</v>
      </c>
      <c r="L7" s="21" t="n">
        <v>6</v>
      </c>
      <c r="M7" s="10" t="n">
        <v>5000000</v>
      </c>
      <c r="N7" s="10" t="n">
        <v>0</v>
      </c>
      <c r="O7" s="11" t="n">
        <f aca="false">ROUND((M7+N7)*0.18,0)</f>
        <v>900000</v>
      </c>
      <c r="P7" s="11" t="n">
        <f aca="false">M7+N7+O7</f>
        <v>5900000</v>
      </c>
      <c r="Q7" s="9" t="s">
        <v>289</v>
      </c>
      <c r="R7" s="8" t="s">
        <v>284</v>
      </c>
      <c r="S7" s="8" t="s">
        <v>285</v>
      </c>
    </row>
    <row r="8" customFormat="false" ht="15" hidden="false" customHeight="false" outlineLevel="0" collapsed="false">
      <c r="B8" s="8" t="s">
        <v>250</v>
      </c>
      <c r="C8" s="8" t="s">
        <v>279</v>
      </c>
      <c r="D8" s="9" t="s">
        <v>280</v>
      </c>
      <c r="E8" s="8" t="s">
        <v>81</v>
      </c>
      <c r="F8" s="8" t="s">
        <v>290</v>
      </c>
      <c r="G8" s="9" t="s">
        <v>291</v>
      </c>
      <c r="H8" s="21" t="n">
        <v>2</v>
      </c>
      <c r="I8" s="8" t="s">
        <v>288</v>
      </c>
      <c r="J8" s="8" t="s">
        <v>286</v>
      </c>
      <c r="K8" s="21" t="n">
        <v>7</v>
      </c>
      <c r="L8" s="21" t="n">
        <v>8</v>
      </c>
      <c r="M8" s="10" t="n">
        <v>0</v>
      </c>
      <c r="N8" s="10" t="n">
        <v>0</v>
      </c>
      <c r="O8" s="11" t="n">
        <f aca="false">ROUND((M8+N8)*0.18,0)</f>
        <v>0</v>
      </c>
      <c r="P8" s="11" t="n">
        <f aca="false">M8+N8+O8</f>
        <v>0</v>
      </c>
      <c r="Q8" s="9" t="s">
        <v>292</v>
      </c>
      <c r="R8" s="8" t="s">
        <v>284</v>
      </c>
      <c r="S8" s="8" t="s">
        <v>293</v>
      </c>
    </row>
    <row r="9" customFormat="false" ht="15" hidden="false" customHeight="false" outlineLevel="0" collapsed="false">
      <c r="B9" s="8" t="s">
        <v>250</v>
      </c>
      <c r="C9" s="8" t="s">
        <v>279</v>
      </c>
      <c r="D9" s="9" t="s">
        <v>280</v>
      </c>
      <c r="E9" s="8" t="s">
        <v>81</v>
      </c>
      <c r="F9" s="8" t="s">
        <v>294</v>
      </c>
      <c r="G9" s="9" t="s">
        <v>295</v>
      </c>
      <c r="H9" s="21" t="n">
        <v>5</v>
      </c>
      <c r="I9" s="8" t="s">
        <v>288</v>
      </c>
      <c r="J9" s="8" t="s">
        <v>286</v>
      </c>
      <c r="K9" s="21" t="n">
        <v>7</v>
      </c>
      <c r="L9" s="21" t="n">
        <v>11</v>
      </c>
      <c r="M9" s="10" t="n">
        <v>3000000</v>
      </c>
      <c r="N9" s="10" t="n">
        <v>0</v>
      </c>
      <c r="O9" s="11" t="n">
        <f aca="false">ROUND((M9+N9)*0.18,0)</f>
        <v>540000</v>
      </c>
      <c r="P9" s="11" t="n">
        <f aca="false">M9+N9+O9</f>
        <v>3540000</v>
      </c>
      <c r="Q9" s="9" t="s">
        <v>296</v>
      </c>
      <c r="R9" s="8" t="s">
        <v>284</v>
      </c>
      <c r="S9" s="8" t="s">
        <v>285</v>
      </c>
    </row>
    <row r="10" customFormat="false" ht="15" hidden="false" customHeight="false" outlineLevel="0" collapsed="false">
      <c r="B10" s="8" t="s">
        <v>250</v>
      </c>
      <c r="C10" s="8" t="s">
        <v>297</v>
      </c>
      <c r="D10" s="9" t="s">
        <v>298</v>
      </c>
      <c r="E10" s="8" t="s">
        <v>299</v>
      </c>
      <c r="F10" s="8" t="s">
        <v>300</v>
      </c>
      <c r="G10" s="9" t="s">
        <v>301</v>
      </c>
      <c r="H10" s="21" t="n">
        <v>6</v>
      </c>
      <c r="I10" s="8" t="s">
        <v>288</v>
      </c>
      <c r="J10" s="8" t="s">
        <v>294</v>
      </c>
      <c r="K10" s="21" t="n">
        <v>12</v>
      </c>
      <c r="L10" s="21" t="n">
        <v>17</v>
      </c>
      <c r="M10" s="10" t="n">
        <v>40000000</v>
      </c>
      <c r="N10" s="10" t="n">
        <v>0</v>
      </c>
      <c r="O10" s="11" t="n">
        <f aca="false">ROUND((M10+N10)*0.18,0)</f>
        <v>7200000</v>
      </c>
      <c r="P10" s="11" t="n">
        <f aca="false">M10+N10+O10</f>
        <v>47200000</v>
      </c>
      <c r="Q10" s="9" t="s">
        <v>302</v>
      </c>
      <c r="R10" s="8" t="s">
        <v>303</v>
      </c>
      <c r="S10" s="8" t="s">
        <v>293</v>
      </c>
    </row>
    <row r="11" customFormat="false" ht="15" hidden="false" customHeight="false" outlineLevel="0" collapsed="false">
      <c r="B11" s="8" t="s">
        <v>250</v>
      </c>
      <c r="C11" s="8" t="s">
        <v>297</v>
      </c>
      <c r="D11" s="9" t="s">
        <v>298</v>
      </c>
      <c r="E11" s="8" t="s">
        <v>299</v>
      </c>
      <c r="F11" s="8" t="s">
        <v>304</v>
      </c>
      <c r="G11" s="9" t="s">
        <v>305</v>
      </c>
      <c r="H11" s="21" t="n">
        <v>6</v>
      </c>
      <c r="I11" s="8" t="s">
        <v>288</v>
      </c>
      <c r="J11" s="8" t="s">
        <v>300</v>
      </c>
      <c r="K11" s="21" t="n">
        <v>18</v>
      </c>
      <c r="L11" s="21" t="n">
        <v>23</v>
      </c>
      <c r="M11" s="10" t="n">
        <v>16000000</v>
      </c>
      <c r="N11" s="10" t="n">
        <v>0</v>
      </c>
      <c r="O11" s="11" t="n">
        <f aca="false">ROUND((M11+N11)*0.18,0)</f>
        <v>2880000</v>
      </c>
      <c r="P11" s="11" t="n">
        <f aca="false">M11+N11+O11</f>
        <v>18880000</v>
      </c>
      <c r="Q11" s="9" t="s">
        <v>306</v>
      </c>
      <c r="R11" s="8" t="s">
        <v>303</v>
      </c>
      <c r="S11" s="8" t="s">
        <v>293</v>
      </c>
    </row>
    <row r="12" customFormat="false" ht="15" hidden="false" customHeight="false" outlineLevel="0" collapsed="false">
      <c r="B12" s="8" t="s">
        <v>250</v>
      </c>
      <c r="C12" s="8" t="s">
        <v>297</v>
      </c>
      <c r="D12" s="9" t="s">
        <v>298</v>
      </c>
      <c r="E12" s="8" t="s">
        <v>299</v>
      </c>
      <c r="F12" s="8" t="s">
        <v>307</v>
      </c>
      <c r="G12" s="9" t="s">
        <v>308</v>
      </c>
      <c r="H12" s="21" t="n">
        <v>5</v>
      </c>
      <c r="I12" s="8" t="s">
        <v>288</v>
      </c>
      <c r="J12" s="8" t="s">
        <v>304</v>
      </c>
      <c r="K12" s="21" t="n">
        <v>24</v>
      </c>
      <c r="L12" s="21" t="n">
        <v>28</v>
      </c>
      <c r="M12" s="10" t="n">
        <v>12000000</v>
      </c>
      <c r="N12" s="10" t="n">
        <v>0</v>
      </c>
      <c r="O12" s="11" t="n">
        <f aca="false">ROUND((M12+N12)*0.18,0)</f>
        <v>2160000</v>
      </c>
      <c r="P12" s="11" t="n">
        <f aca="false">M12+N12+O12</f>
        <v>14160000</v>
      </c>
      <c r="Q12" s="9" t="s">
        <v>309</v>
      </c>
      <c r="R12" s="8" t="s">
        <v>303</v>
      </c>
      <c r="S12" s="8" t="s">
        <v>293</v>
      </c>
    </row>
    <row r="13" customFormat="false" ht="15" hidden="false" customHeight="false" outlineLevel="0" collapsed="false">
      <c r="B13" s="8" t="s">
        <v>250</v>
      </c>
      <c r="C13" s="8" t="s">
        <v>310</v>
      </c>
      <c r="D13" s="9" t="s">
        <v>311</v>
      </c>
      <c r="E13" s="8" t="s">
        <v>299</v>
      </c>
      <c r="F13" s="8" t="s">
        <v>312</v>
      </c>
      <c r="G13" s="9" t="s">
        <v>313</v>
      </c>
      <c r="H13" s="21" t="n">
        <v>3</v>
      </c>
      <c r="I13" s="8" t="s">
        <v>288</v>
      </c>
      <c r="J13" s="8" t="s">
        <v>304</v>
      </c>
      <c r="K13" s="21" t="n">
        <v>24</v>
      </c>
      <c r="L13" s="21" t="n">
        <v>26</v>
      </c>
      <c r="M13" s="10" t="n">
        <v>10000000</v>
      </c>
      <c r="N13" s="10" t="n">
        <v>0</v>
      </c>
      <c r="O13" s="11" t="n">
        <f aca="false">ROUND((M13+N13)*0.18,0)</f>
        <v>1800000</v>
      </c>
      <c r="P13" s="11" t="n">
        <f aca="false">M13+N13+O13</f>
        <v>11800000</v>
      </c>
      <c r="Q13" s="9" t="s">
        <v>314</v>
      </c>
      <c r="R13" s="8" t="s">
        <v>303</v>
      </c>
      <c r="S13" s="8" t="s">
        <v>293</v>
      </c>
    </row>
    <row r="14" customFormat="false" ht="15" hidden="false" customHeight="false" outlineLevel="0" collapsed="false">
      <c r="B14" s="8" t="s">
        <v>250</v>
      </c>
      <c r="C14" s="8" t="s">
        <v>310</v>
      </c>
      <c r="D14" s="9" t="s">
        <v>311</v>
      </c>
      <c r="E14" s="8" t="s">
        <v>299</v>
      </c>
      <c r="F14" s="8" t="s">
        <v>315</v>
      </c>
      <c r="G14" s="9" t="s">
        <v>316</v>
      </c>
      <c r="H14" s="21" t="n">
        <v>5</v>
      </c>
      <c r="I14" s="8" t="s">
        <v>288</v>
      </c>
      <c r="J14" s="8" t="s">
        <v>312</v>
      </c>
      <c r="K14" s="21" t="n">
        <v>27</v>
      </c>
      <c r="L14" s="21" t="n">
        <v>31</v>
      </c>
      <c r="M14" s="10" t="n">
        <v>25000000</v>
      </c>
      <c r="N14" s="10" t="n">
        <v>0</v>
      </c>
      <c r="O14" s="11" t="n">
        <f aca="false">ROUND((M14+N14)*0.18,0)</f>
        <v>4500000</v>
      </c>
      <c r="P14" s="11" t="n">
        <f aca="false">M14+N14+O14</f>
        <v>29500000</v>
      </c>
      <c r="Q14" s="9" t="s">
        <v>317</v>
      </c>
      <c r="R14" s="8" t="s">
        <v>303</v>
      </c>
      <c r="S14" s="8" t="s">
        <v>293</v>
      </c>
    </row>
    <row r="15" customFormat="false" ht="15" hidden="false" customHeight="false" outlineLevel="0" collapsed="false">
      <c r="B15" s="8" t="s">
        <v>250</v>
      </c>
      <c r="C15" s="8" t="s">
        <v>310</v>
      </c>
      <c r="D15" s="9" t="s">
        <v>311</v>
      </c>
      <c r="E15" s="8" t="s">
        <v>299</v>
      </c>
      <c r="F15" s="8" t="s">
        <v>318</v>
      </c>
      <c r="G15" s="9" t="s">
        <v>319</v>
      </c>
      <c r="H15" s="21" t="n">
        <v>4</v>
      </c>
      <c r="I15" s="8" t="s">
        <v>288</v>
      </c>
      <c r="J15" s="8" t="s">
        <v>315</v>
      </c>
      <c r="K15" s="21" t="n">
        <v>32</v>
      </c>
      <c r="L15" s="21" t="n">
        <v>35</v>
      </c>
      <c r="M15" s="10" t="n">
        <v>10000000</v>
      </c>
      <c r="N15" s="10" t="n">
        <v>0</v>
      </c>
      <c r="O15" s="11" t="n">
        <f aca="false">ROUND((M15+N15)*0.18,0)</f>
        <v>1800000</v>
      </c>
      <c r="P15" s="11" t="n">
        <f aca="false">M15+N15+O15</f>
        <v>11800000</v>
      </c>
      <c r="Q15" s="9" t="s">
        <v>314</v>
      </c>
      <c r="R15" s="8" t="s">
        <v>303</v>
      </c>
      <c r="S15" s="8" t="s">
        <v>293</v>
      </c>
    </row>
    <row r="16" customFormat="false" ht="22.35" hidden="false" customHeight="false" outlineLevel="0" collapsed="false">
      <c r="B16" s="8" t="s">
        <v>250</v>
      </c>
      <c r="C16" s="8" t="s">
        <v>320</v>
      </c>
      <c r="D16" s="9" t="s">
        <v>321</v>
      </c>
      <c r="E16" s="8" t="s">
        <v>322</v>
      </c>
      <c r="F16" s="8" t="s">
        <v>323</v>
      </c>
      <c r="G16" s="9" t="s">
        <v>324</v>
      </c>
      <c r="H16" s="21" t="n">
        <v>10</v>
      </c>
      <c r="I16" s="8" t="s">
        <v>288</v>
      </c>
      <c r="J16" s="8" t="s">
        <v>294</v>
      </c>
      <c r="K16" s="21" t="n">
        <v>12</v>
      </c>
      <c r="L16" s="21" t="n">
        <v>21</v>
      </c>
      <c r="M16" s="10" t="n">
        <v>55000000</v>
      </c>
      <c r="N16" s="10" t="n">
        <v>8094956</v>
      </c>
      <c r="O16" s="11" t="n">
        <f aca="false">ROUND((M16+N16)*0.18,0)</f>
        <v>11357092</v>
      </c>
      <c r="P16" s="11" t="n">
        <f aca="false">M16+N16+O16</f>
        <v>74452048</v>
      </c>
      <c r="Q16" s="9" t="s">
        <v>325</v>
      </c>
      <c r="R16" s="8" t="s">
        <v>303</v>
      </c>
      <c r="S16" s="8" t="s">
        <v>293</v>
      </c>
    </row>
    <row r="17" customFormat="false" ht="22.35" hidden="false" customHeight="false" outlineLevel="0" collapsed="false">
      <c r="B17" s="8" t="s">
        <v>250</v>
      </c>
      <c r="C17" s="8" t="s">
        <v>320</v>
      </c>
      <c r="D17" s="9" t="s">
        <v>321</v>
      </c>
      <c r="E17" s="8" t="s">
        <v>322</v>
      </c>
      <c r="F17" s="8" t="s">
        <v>326</v>
      </c>
      <c r="G17" s="9" t="s">
        <v>327</v>
      </c>
      <c r="H17" s="21" t="n">
        <v>4</v>
      </c>
      <c r="I17" s="8" t="s">
        <v>288</v>
      </c>
      <c r="J17" s="8" t="s">
        <v>323</v>
      </c>
      <c r="K17" s="21" t="n">
        <v>22</v>
      </c>
      <c r="L17" s="21" t="n">
        <v>25</v>
      </c>
      <c r="M17" s="10" t="n">
        <v>0</v>
      </c>
      <c r="N17" s="10" t="n">
        <v>0</v>
      </c>
      <c r="O17" s="11" t="n">
        <f aca="false">ROUND((M17+N17)*0.18,0)</f>
        <v>0</v>
      </c>
      <c r="P17" s="11" t="n">
        <f aca="false">M17+N17+O17</f>
        <v>0</v>
      </c>
      <c r="Q17" s="9" t="s">
        <v>328</v>
      </c>
      <c r="R17" s="8" t="s">
        <v>284</v>
      </c>
      <c r="S17" s="8" t="s">
        <v>285</v>
      </c>
    </row>
    <row r="18" customFormat="false" ht="22.35" hidden="false" customHeight="false" outlineLevel="0" collapsed="false">
      <c r="B18" s="8" t="s">
        <v>250</v>
      </c>
      <c r="C18" s="8" t="s">
        <v>320</v>
      </c>
      <c r="D18" s="9" t="s">
        <v>321</v>
      </c>
      <c r="E18" s="8" t="s">
        <v>322</v>
      </c>
      <c r="F18" s="8" t="s">
        <v>329</v>
      </c>
      <c r="G18" s="9" t="s">
        <v>330</v>
      </c>
      <c r="H18" s="21" t="n">
        <v>2</v>
      </c>
      <c r="I18" s="8" t="s">
        <v>288</v>
      </c>
      <c r="J18" s="8" t="s">
        <v>318</v>
      </c>
      <c r="K18" s="21" t="n">
        <v>36</v>
      </c>
      <c r="L18" s="21" t="n">
        <v>37</v>
      </c>
      <c r="M18" s="10" t="n">
        <v>0</v>
      </c>
      <c r="N18" s="10" t="n">
        <v>0</v>
      </c>
      <c r="O18" s="11" t="n">
        <f aca="false">ROUND((M18+N18)*0.18,0)</f>
        <v>0</v>
      </c>
      <c r="P18" s="11" t="n">
        <f aca="false">M18+N18+O18</f>
        <v>0</v>
      </c>
      <c r="Q18" s="9" t="s">
        <v>331</v>
      </c>
      <c r="R18" s="8" t="s">
        <v>284</v>
      </c>
      <c r="S18" s="8" t="s">
        <v>285</v>
      </c>
    </row>
    <row r="19" customFormat="false" ht="22.35" hidden="false" customHeight="false" outlineLevel="0" collapsed="false">
      <c r="B19" s="8" t="s">
        <v>250</v>
      </c>
      <c r="C19" s="8" t="s">
        <v>320</v>
      </c>
      <c r="D19" s="9" t="s">
        <v>321</v>
      </c>
      <c r="E19" s="8" t="s">
        <v>322</v>
      </c>
      <c r="F19" s="8" t="s">
        <v>332</v>
      </c>
      <c r="G19" s="9" t="s">
        <v>333</v>
      </c>
      <c r="H19" s="21" t="n">
        <v>5</v>
      </c>
      <c r="I19" s="8" t="s">
        <v>288</v>
      </c>
      <c r="J19" s="8" t="s">
        <v>329</v>
      </c>
      <c r="K19" s="21" t="n">
        <v>38</v>
      </c>
      <c r="L19" s="21" t="n">
        <v>42</v>
      </c>
      <c r="M19" s="10" t="n">
        <v>0</v>
      </c>
      <c r="N19" s="10" t="n">
        <v>0</v>
      </c>
      <c r="O19" s="11" t="n">
        <f aca="false">ROUND((M19+N19)*0.18,0)</f>
        <v>0</v>
      </c>
      <c r="P19" s="11" t="n">
        <f aca="false">M19+N19+O19</f>
        <v>0</v>
      </c>
      <c r="Q19" s="9" t="s">
        <v>334</v>
      </c>
      <c r="R19" s="8" t="s">
        <v>284</v>
      </c>
      <c r="S19" s="8" t="s">
        <v>293</v>
      </c>
    </row>
    <row r="20" customFormat="false" ht="22.35" hidden="false" customHeight="false" outlineLevel="0" collapsed="false">
      <c r="B20" s="8" t="s">
        <v>250</v>
      </c>
      <c r="C20" s="8" t="s">
        <v>335</v>
      </c>
      <c r="D20" s="9" t="s">
        <v>336</v>
      </c>
      <c r="E20" s="8" t="s">
        <v>322</v>
      </c>
      <c r="F20" s="8" t="s">
        <v>337</v>
      </c>
      <c r="G20" s="9" t="s">
        <v>338</v>
      </c>
      <c r="H20" s="21" t="n">
        <v>8</v>
      </c>
      <c r="I20" s="8" t="s">
        <v>288</v>
      </c>
      <c r="J20" s="8" t="s">
        <v>294</v>
      </c>
      <c r="K20" s="21" t="n">
        <v>12</v>
      </c>
      <c r="L20" s="21" t="n">
        <v>19</v>
      </c>
      <c r="M20" s="10" t="n">
        <v>25000000</v>
      </c>
      <c r="N20" s="10" t="n">
        <v>3679526</v>
      </c>
      <c r="O20" s="11" t="n">
        <f aca="false">ROUND((M20+N20)*0.18,0)</f>
        <v>5162315</v>
      </c>
      <c r="P20" s="11" t="n">
        <f aca="false">M20+N20+O20</f>
        <v>33841841</v>
      </c>
      <c r="Q20" s="9" t="s">
        <v>339</v>
      </c>
      <c r="R20" s="8" t="s">
        <v>303</v>
      </c>
      <c r="S20" s="8" t="s">
        <v>293</v>
      </c>
    </row>
    <row r="21" customFormat="false" ht="22.35" hidden="false" customHeight="false" outlineLevel="0" collapsed="false">
      <c r="B21" s="8" t="s">
        <v>250</v>
      </c>
      <c r="C21" s="8" t="s">
        <v>335</v>
      </c>
      <c r="D21" s="9" t="s">
        <v>336</v>
      </c>
      <c r="E21" s="8" t="s">
        <v>322</v>
      </c>
      <c r="F21" s="8" t="s">
        <v>340</v>
      </c>
      <c r="G21" s="9" t="s">
        <v>327</v>
      </c>
      <c r="H21" s="21" t="n">
        <v>4</v>
      </c>
      <c r="I21" s="8" t="s">
        <v>288</v>
      </c>
      <c r="J21" s="8" t="s">
        <v>337</v>
      </c>
      <c r="K21" s="21" t="n">
        <v>20</v>
      </c>
      <c r="L21" s="21" t="n">
        <v>23</v>
      </c>
      <c r="M21" s="10" t="n">
        <v>0</v>
      </c>
      <c r="N21" s="10" t="n">
        <v>0</v>
      </c>
      <c r="O21" s="11" t="n">
        <f aca="false">ROUND((M21+N21)*0.18,0)</f>
        <v>0</v>
      </c>
      <c r="P21" s="11" t="n">
        <f aca="false">M21+N21+O21</f>
        <v>0</v>
      </c>
      <c r="Q21" s="9" t="s">
        <v>328</v>
      </c>
      <c r="R21" s="8" t="s">
        <v>284</v>
      </c>
      <c r="S21" s="8" t="s">
        <v>285</v>
      </c>
    </row>
    <row r="22" customFormat="false" ht="22.35" hidden="false" customHeight="false" outlineLevel="0" collapsed="false">
      <c r="B22" s="8" t="s">
        <v>250</v>
      </c>
      <c r="C22" s="8" t="s">
        <v>335</v>
      </c>
      <c r="D22" s="9" t="s">
        <v>336</v>
      </c>
      <c r="E22" s="8" t="s">
        <v>322</v>
      </c>
      <c r="F22" s="8" t="s">
        <v>341</v>
      </c>
      <c r="G22" s="9" t="s">
        <v>342</v>
      </c>
      <c r="H22" s="21" t="n">
        <v>4</v>
      </c>
      <c r="I22" s="8" t="s">
        <v>288</v>
      </c>
      <c r="J22" s="8" t="s">
        <v>332</v>
      </c>
      <c r="K22" s="21" t="n">
        <v>43</v>
      </c>
      <c r="L22" s="21" t="n">
        <v>46</v>
      </c>
      <c r="M22" s="10" t="n">
        <v>0</v>
      </c>
      <c r="N22" s="10" t="n">
        <v>0</v>
      </c>
      <c r="O22" s="11" t="n">
        <f aca="false">ROUND((M22+N22)*0.18,0)</f>
        <v>0</v>
      </c>
      <c r="P22" s="11" t="n">
        <f aca="false">M22+N22+O22</f>
        <v>0</v>
      </c>
      <c r="Q22" s="9" t="s">
        <v>314</v>
      </c>
      <c r="R22" s="8" t="s">
        <v>284</v>
      </c>
      <c r="S22" s="8" t="s">
        <v>293</v>
      </c>
    </row>
    <row r="23" customFormat="false" ht="15" hidden="false" customHeight="false" outlineLevel="0" collapsed="false">
      <c r="B23" s="8" t="s">
        <v>250</v>
      </c>
      <c r="C23" s="8" t="s">
        <v>343</v>
      </c>
      <c r="D23" s="9" t="s">
        <v>344</v>
      </c>
      <c r="E23" s="8" t="s">
        <v>345</v>
      </c>
      <c r="F23" s="8" t="s">
        <v>346</v>
      </c>
      <c r="G23" s="9" t="s">
        <v>347</v>
      </c>
      <c r="H23" s="21" t="n">
        <v>5</v>
      </c>
      <c r="I23" s="8" t="s">
        <v>288</v>
      </c>
      <c r="J23" s="8" t="s">
        <v>318</v>
      </c>
      <c r="K23" s="21" t="n">
        <v>36</v>
      </c>
      <c r="L23" s="21" t="n">
        <v>40</v>
      </c>
      <c r="M23" s="10" t="n">
        <v>13000000</v>
      </c>
      <c r="N23" s="10" t="n">
        <v>0</v>
      </c>
      <c r="O23" s="11" t="n">
        <f aca="false">ROUND((M23+N23)*0.18,0)</f>
        <v>2340000</v>
      </c>
      <c r="P23" s="11" t="n">
        <f aca="false">M23+N23+O23</f>
        <v>15340000</v>
      </c>
      <c r="Q23" s="9" t="s">
        <v>314</v>
      </c>
      <c r="R23" s="8" t="s">
        <v>303</v>
      </c>
      <c r="S23" s="8" t="s">
        <v>293</v>
      </c>
    </row>
    <row r="24" customFormat="false" ht="15" hidden="false" customHeight="false" outlineLevel="0" collapsed="false">
      <c r="B24" s="8" t="s">
        <v>250</v>
      </c>
      <c r="C24" s="8" t="s">
        <v>343</v>
      </c>
      <c r="D24" s="9" t="s">
        <v>344</v>
      </c>
      <c r="E24" s="8" t="s">
        <v>345</v>
      </c>
      <c r="F24" s="8" t="s">
        <v>348</v>
      </c>
      <c r="G24" s="9" t="s">
        <v>349</v>
      </c>
      <c r="H24" s="21" t="n">
        <v>2</v>
      </c>
      <c r="I24" s="8" t="s">
        <v>288</v>
      </c>
      <c r="J24" s="8" t="s">
        <v>346</v>
      </c>
      <c r="K24" s="21" t="n">
        <v>41</v>
      </c>
      <c r="L24" s="21" t="n">
        <v>42</v>
      </c>
      <c r="M24" s="10" t="n">
        <v>5000000</v>
      </c>
      <c r="N24" s="10" t="n">
        <v>0</v>
      </c>
      <c r="O24" s="11" t="n">
        <f aca="false">ROUND((M24+N24)*0.18,0)</f>
        <v>900000</v>
      </c>
      <c r="P24" s="11" t="n">
        <f aca="false">M24+N24+O24</f>
        <v>5900000</v>
      </c>
      <c r="Q24" s="9" t="s">
        <v>350</v>
      </c>
      <c r="R24" s="8" t="s">
        <v>284</v>
      </c>
      <c r="S24" s="8" t="s">
        <v>285</v>
      </c>
    </row>
    <row r="25" customFormat="false" ht="22.35" hidden="false" customHeight="false" outlineLevel="0" collapsed="false">
      <c r="B25" s="8" t="s">
        <v>250</v>
      </c>
      <c r="C25" s="8" t="s">
        <v>351</v>
      </c>
      <c r="D25" s="9" t="s">
        <v>352</v>
      </c>
      <c r="E25" s="8" t="s">
        <v>322</v>
      </c>
      <c r="F25" s="8" t="s">
        <v>353</v>
      </c>
      <c r="G25" s="9" t="s">
        <v>354</v>
      </c>
      <c r="H25" s="21" t="n">
        <v>3</v>
      </c>
      <c r="I25" s="8" t="s">
        <v>288</v>
      </c>
      <c r="J25" s="8" t="s">
        <v>318</v>
      </c>
      <c r="K25" s="21" t="n">
        <v>36</v>
      </c>
      <c r="L25" s="21" t="n">
        <v>38</v>
      </c>
      <c r="M25" s="10" t="n">
        <v>5489640</v>
      </c>
      <c r="N25" s="10" t="n">
        <v>0</v>
      </c>
      <c r="O25" s="11" t="n">
        <f aca="false">ROUND((M25+N25)*0.18,0)</f>
        <v>988135</v>
      </c>
      <c r="P25" s="11" t="n">
        <f aca="false">M25+N25+O25</f>
        <v>6477775</v>
      </c>
      <c r="Q25" s="9" t="s">
        <v>355</v>
      </c>
      <c r="R25" s="8" t="s">
        <v>303</v>
      </c>
      <c r="S25" s="8" t="s">
        <v>293</v>
      </c>
    </row>
    <row r="26" customFormat="false" ht="22.35" hidden="false" customHeight="false" outlineLevel="0" collapsed="false">
      <c r="B26" s="8" t="s">
        <v>250</v>
      </c>
      <c r="C26" s="8" t="s">
        <v>351</v>
      </c>
      <c r="D26" s="9" t="s">
        <v>352</v>
      </c>
      <c r="E26" s="8" t="s">
        <v>322</v>
      </c>
      <c r="F26" s="8" t="s">
        <v>356</v>
      </c>
      <c r="G26" s="9" t="s">
        <v>357</v>
      </c>
      <c r="H26" s="21" t="n">
        <v>3</v>
      </c>
      <c r="I26" s="8" t="s">
        <v>288</v>
      </c>
      <c r="J26" s="8" t="s">
        <v>341</v>
      </c>
      <c r="K26" s="21" t="n">
        <v>47</v>
      </c>
      <c r="L26" s="21" t="n">
        <v>49</v>
      </c>
      <c r="M26" s="10" t="n">
        <v>3000000</v>
      </c>
      <c r="N26" s="10" t="n">
        <v>0</v>
      </c>
      <c r="O26" s="11" t="n">
        <f aca="false">ROUND((M26+N26)*0.18,0)</f>
        <v>540000</v>
      </c>
      <c r="P26" s="11" t="n">
        <f aca="false">M26+N26+O26</f>
        <v>3540000</v>
      </c>
      <c r="Q26" s="9" t="s">
        <v>358</v>
      </c>
      <c r="R26" s="8" t="s">
        <v>284</v>
      </c>
      <c r="S26" s="8" t="s">
        <v>285</v>
      </c>
    </row>
    <row r="27" customFormat="false" ht="15" hidden="false" customHeight="false" outlineLevel="0" collapsed="false">
      <c r="B27" s="8" t="s">
        <v>250</v>
      </c>
      <c r="C27" s="8" t="s">
        <v>359</v>
      </c>
      <c r="D27" s="9" t="s">
        <v>360</v>
      </c>
      <c r="E27" s="8" t="s">
        <v>361</v>
      </c>
      <c r="F27" s="8" t="s">
        <v>362</v>
      </c>
      <c r="G27" s="9" t="s">
        <v>363</v>
      </c>
      <c r="H27" s="21" t="n">
        <v>2</v>
      </c>
      <c r="I27" s="8" t="s">
        <v>288</v>
      </c>
      <c r="J27" s="8" t="s">
        <v>356</v>
      </c>
      <c r="K27" s="21" t="n">
        <v>50</v>
      </c>
      <c r="L27" s="21" t="n">
        <v>51</v>
      </c>
      <c r="M27" s="10" t="n">
        <v>2000000</v>
      </c>
      <c r="N27" s="10" t="n">
        <v>0</v>
      </c>
      <c r="O27" s="11" t="n">
        <f aca="false">ROUND((M27+N27)*0.18,0)</f>
        <v>360000</v>
      </c>
      <c r="P27" s="11" t="n">
        <f aca="false">M27+N27+O27</f>
        <v>2360000</v>
      </c>
      <c r="Q27" s="9" t="s">
        <v>314</v>
      </c>
      <c r="R27" s="8" t="s">
        <v>284</v>
      </c>
      <c r="S27" s="8" t="s">
        <v>285</v>
      </c>
    </row>
    <row r="28" customFormat="false" ht="15" hidden="false" customHeight="false" outlineLevel="0" collapsed="false">
      <c r="B28" s="8" t="s">
        <v>250</v>
      </c>
      <c r="C28" s="8" t="s">
        <v>359</v>
      </c>
      <c r="D28" s="9" t="s">
        <v>360</v>
      </c>
      <c r="E28" s="8" t="s">
        <v>361</v>
      </c>
      <c r="F28" s="8" t="s">
        <v>364</v>
      </c>
      <c r="G28" s="9" t="s">
        <v>365</v>
      </c>
      <c r="H28" s="21" t="n">
        <v>2</v>
      </c>
      <c r="I28" s="8" t="s">
        <v>288</v>
      </c>
      <c r="J28" s="8" t="s">
        <v>362</v>
      </c>
      <c r="K28" s="21" t="n">
        <v>52</v>
      </c>
      <c r="L28" s="21" t="n">
        <v>53</v>
      </c>
      <c r="M28" s="10" t="n">
        <v>2000000</v>
      </c>
      <c r="N28" s="10" t="n">
        <v>0</v>
      </c>
      <c r="O28" s="11" t="n">
        <f aca="false">ROUND((M28+N28)*0.18,0)</f>
        <v>360000</v>
      </c>
      <c r="P28" s="11" t="n">
        <f aca="false">M28+N28+O28</f>
        <v>2360000</v>
      </c>
      <c r="Q28" s="9" t="s">
        <v>366</v>
      </c>
      <c r="R28" s="8" t="s">
        <v>284</v>
      </c>
      <c r="S28" s="8" t="s">
        <v>285</v>
      </c>
    </row>
    <row r="29" customFormat="false" ht="15" hidden="false" customHeight="false" outlineLevel="0" collapsed="false">
      <c r="B29" s="8" t="s">
        <v>97</v>
      </c>
      <c r="C29" s="8" t="s">
        <v>279</v>
      </c>
      <c r="D29" s="9" t="s">
        <v>367</v>
      </c>
      <c r="E29" s="8" t="s">
        <v>81</v>
      </c>
      <c r="F29" s="8" t="s">
        <v>281</v>
      </c>
      <c r="G29" s="9" t="s">
        <v>368</v>
      </c>
      <c r="H29" s="21" t="n">
        <v>6</v>
      </c>
      <c r="I29" s="8"/>
      <c r="J29" s="8"/>
      <c r="K29" s="21" t="n">
        <v>1</v>
      </c>
      <c r="L29" s="21" t="n">
        <v>6</v>
      </c>
      <c r="M29" s="10" t="n">
        <v>8000000</v>
      </c>
      <c r="N29" s="10" t="n">
        <v>0</v>
      </c>
      <c r="O29" s="11" t="n">
        <f aca="false">ROUND((M29+N29)*0.18,0)</f>
        <v>1440000</v>
      </c>
      <c r="P29" s="11" t="n">
        <f aca="false">M29+N29+O29</f>
        <v>9440000</v>
      </c>
      <c r="Q29" s="9" t="s">
        <v>369</v>
      </c>
      <c r="R29" s="8" t="s">
        <v>284</v>
      </c>
      <c r="S29" s="8" t="s">
        <v>293</v>
      </c>
    </row>
    <row r="30" customFormat="false" ht="15" hidden="false" customHeight="false" outlineLevel="0" collapsed="false">
      <c r="B30" s="8" t="s">
        <v>97</v>
      </c>
      <c r="C30" s="8" t="s">
        <v>279</v>
      </c>
      <c r="D30" s="9" t="s">
        <v>367</v>
      </c>
      <c r="E30" s="8" t="s">
        <v>81</v>
      </c>
      <c r="F30" s="8" t="s">
        <v>286</v>
      </c>
      <c r="G30" s="9" t="s">
        <v>370</v>
      </c>
      <c r="H30" s="21" t="n">
        <v>4</v>
      </c>
      <c r="I30" s="8" t="s">
        <v>288</v>
      </c>
      <c r="J30" s="8" t="s">
        <v>281</v>
      </c>
      <c r="K30" s="21" t="n">
        <v>7</v>
      </c>
      <c r="L30" s="21" t="n">
        <v>10</v>
      </c>
      <c r="M30" s="10" t="n">
        <v>5000000</v>
      </c>
      <c r="N30" s="10" t="n">
        <v>0</v>
      </c>
      <c r="O30" s="11" t="n">
        <f aca="false">ROUND((M30+N30)*0.18,0)</f>
        <v>900000</v>
      </c>
      <c r="P30" s="11" t="n">
        <f aca="false">M30+N30+O30</f>
        <v>5900000</v>
      </c>
      <c r="Q30" s="9" t="s">
        <v>371</v>
      </c>
      <c r="R30" s="8" t="s">
        <v>284</v>
      </c>
      <c r="S30" s="8" t="s">
        <v>285</v>
      </c>
    </row>
    <row r="31" customFormat="false" ht="15" hidden="false" customHeight="false" outlineLevel="0" collapsed="false">
      <c r="B31" s="8" t="s">
        <v>97</v>
      </c>
      <c r="C31" s="8" t="s">
        <v>279</v>
      </c>
      <c r="D31" s="9" t="s">
        <v>367</v>
      </c>
      <c r="E31" s="8" t="s">
        <v>81</v>
      </c>
      <c r="F31" s="8" t="s">
        <v>290</v>
      </c>
      <c r="G31" s="9" t="s">
        <v>372</v>
      </c>
      <c r="H31" s="21" t="n">
        <v>6</v>
      </c>
      <c r="I31" s="8" t="s">
        <v>288</v>
      </c>
      <c r="J31" s="8" t="s">
        <v>286</v>
      </c>
      <c r="K31" s="21" t="n">
        <v>11</v>
      </c>
      <c r="L31" s="21" t="n">
        <v>16</v>
      </c>
      <c r="M31" s="10" t="n">
        <v>12000000</v>
      </c>
      <c r="N31" s="10" t="n">
        <v>0</v>
      </c>
      <c r="O31" s="11" t="n">
        <f aca="false">ROUND((M31+N31)*0.18,0)</f>
        <v>2160000</v>
      </c>
      <c r="P31" s="11" t="n">
        <f aca="false">M31+N31+O31</f>
        <v>14160000</v>
      </c>
      <c r="Q31" s="9" t="s">
        <v>373</v>
      </c>
      <c r="R31" s="8" t="s">
        <v>284</v>
      </c>
      <c r="S31" s="8" t="s">
        <v>285</v>
      </c>
    </row>
    <row r="32" customFormat="false" ht="15" hidden="false" customHeight="false" outlineLevel="0" collapsed="false">
      <c r="B32" s="8" t="s">
        <v>97</v>
      </c>
      <c r="C32" s="8" t="s">
        <v>279</v>
      </c>
      <c r="D32" s="9" t="s">
        <v>367</v>
      </c>
      <c r="E32" s="8" t="s">
        <v>81</v>
      </c>
      <c r="F32" s="8" t="s">
        <v>294</v>
      </c>
      <c r="G32" s="9" t="s">
        <v>374</v>
      </c>
      <c r="H32" s="21" t="n">
        <v>8</v>
      </c>
      <c r="I32" s="8" t="s">
        <v>288</v>
      </c>
      <c r="J32" s="8" t="s">
        <v>286</v>
      </c>
      <c r="K32" s="21" t="n">
        <v>11</v>
      </c>
      <c r="L32" s="21" t="n">
        <v>18</v>
      </c>
      <c r="M32" s="10" t="n">
        <v>6000000</v>
      </c>
      <c r="N32" s="10" t="n">
        <v>0</v>
      </c>
      <c r="O32" s="11" t="n">
        <f aca="false">ROUND((M32+N32)*0.18,0)</f>
        <v>1080000</v>
      </c>
      <c r="P32" s="11" t="n">
        <f aca="false">M32+N32+O32</f>
        <v>7080000</v>
      </c>
      <c r="Q32" s="9" t="s">
        <v>375</v>
      </c>
      <c r="R32" s="8" t="s">
        <v>284</v>
      </c>
      <c r="S32" s="8" t="s">
        <v>293</v>
      </c>
    </row>
    <row r="33" customFormat="false" ht="15" hidden="false" customHeight="false" outlineLevel="0" collapsed="false">
      <c r="B33" s="8" t="s">
        <v>97</v>
      </c>
      <c r="C33" s="8" t="s">
        <v>279</v>
      </c>
      <c r="D33" s="9" t="s">
        <v>367</v>
      </c>
      <c r="E33" s="8" t="s">
        <v>81</v>
      </c>
      <c r="F33" s="8" t="s">
        <v>376</v>
      </c>
      <c r="G33" s="9" t="s">
        <v>377</v>
      </c>
      <c r="H33" s="21" t="n">
        <v>6</v>
      </c>
      <c r="I33" s="8" t="s">
        <v>288</v>
      </c>
      <c r="J33" s="8" t="s">
        <v>290</v>
      </c>
      <c r="K33" s="21" t="n">
        <v>17</v>
      </c>
      <c r="L33" s="21" t="n">
        <v>22</v>
      </c>
      <c r="M33" s="10" t="n">
        <v>4000000</v>
      </c>
      <c r="N33" s="10" t="n">
        <v>0</v>
      </c>
      <c r="O33" s="11" t="n">
        <f aca="false">ROUND((M33+N33)*0.18,0)</f>
        <v>720000</v>
      </c>
      <c r="P33" s="11" t="n">
        <f aca="false">M33+N33+O33</f>
        <v>4720000</v>
      </c>
      <c r="Q33" s="9" t="s">
        <v>378</v>
      </c>
      <c r="R33" s="8" t="s">
        <v>284</v>
      </c>
      <c r="S33" s="8" t="s">
        <v>285</v>
      </c>
    </row>
    <row r="34" customFormat="false" ht="15" hidden="false" customHeight="false" outlineLevel="0" collapsed="false">
      <c r="B34" s="8" t="s">
        <v>97</v>
      </c>
      <c r="C34" s="8" t="s">
        <v>297</v>
      </c>
      <c r="D34" s="9" t="s">
        <v>379</v>
      </c>
      <c r="E34" s="8" t="s">
        <v>299</v>
      </c>
      <c r="F34" s="8" t="s">
        <v>300</v>
      </c>
      <c r="G34" s="9" t="s">
        <v>380</v>
      </c>
      <c r="H34" s="21" t="n">
        <v>6</v>
      </c>
      <c r="I34" s="8" t="s">
        <v>288</v>
      </c>
      <c r="J34" s="8" t="s">
        <v>376</v>
      </c>
      <c r="K34" s="21" t="n">
        <v>23</v>
      </c>
      <c r="L34" s="21" t="n">
        <v>28</v>
      </c>
      <c r="M34" s="10" t="n">
        <v>35000000</v>
      </c>
      <c r="N34" s="10" t="n">
        <v>0</v>
      </c>
      <c r="O34" s="11" t="n">
        <f aca="false">ROUND((M34+N34)*0.18,0)</f>
        <v>6300000</v>
      </c>
      <c r="P34" s="11" t="n">
        <f aca="false">M34+N34+O34</f>
        <v>41300000</v>
      </c>
      <c r="Q34" s="9" t="s">
        <v>306</v>
      </c>
      <c r="R34" s="8" t="s">
        <v>303</v>
      </c>
      <c r="S34" s="8" t="s">
        <v>293</v>
      </c>
    </row>
    <row r="35" customFormat="false" ht="15" hidden="false" customHeight="false" outlineLevel="0" collapsed="false">
      <c r="B35" s="8" t="s">
        <v>97</v>
      </c>
      <c r="C35" s="8" t="s">
        <v>297</v>
      </c>
      <c r="D35" s="9" t="s">
        <v>379</v>
      </c>
      <c r="E35" s="8" t="s">
        <v>299</v>
      </c>
      <c r="F35" s="8" t="s">
        <v>304</v>
      </c>
      <c r="G35" s="9" t="s">
        <v>381</v>
      </c>
      <c r="H35" s="21" t="n">
        <v>4</v>
      </c>
      <c r="I35" s="8" t="s">
        <v>288</v>
      </c>
      <c r="J35" s="8" t="s">
        <v>300</v>
      </c>
      <c r="K35" s="21" t="n">
        <v>29</v>
      </c>
      <c r="L35" s="21" t="n">
        <v>32</v>
      </c>
      <c r="M35" s="10" t="n">
        <v>10000000</v>
      </c>
      <c r="N35" s="10" t="n">
        <v>0</v>
      </c>
      <c r="O35" s="11" t="n">
        <f aca="false">ROUND((M35+N35)*0.18,0)</f>
        <v>1800000</v>
      </c>
      <c r="P35" s="11" t="n">
        <f aca="false">M35+N35+O35</f>
        <v>11800000</v>
      </c>
      <c r="Q35" s="9" t="s">
        <v>382</v>
      </c>
      <c r="R35" s="8" t="s">
        <v>303</v>
      </c>
      <c r="S35" s="8" t="s">
        <v>293</v>
      </c>
    </row>
    <row r="36" customFormat="false" ht="15" hidden="false" customHeight="false" outlineLevel="0" collapsed="false">
      <c r="B36" s="8" t="s">
        <v>97</v>
      </c>
      <c r="C36" s="8" t="s">
        <v>297</v>
      </c>
      <c r="D36" s="9" t="s">
        <v>379</v>
      </c>
      <c r="E36" s="8" t="s">
        <v>299</v>
      </c>
      <c r="F36" s="8" t="s">
        <v>307</v>
      </c>
      <c r="G36" s="9" t="s">
        <v>383</v>
      </c>
      <c r="H36" s="21" t="n">
        <v>6</v>
      </c>
      <c r="I36" s="8" t="s">
        <v>384</v>
      </c>
      <c r="J36" s="8" t="s">
        <v>300</v>
      </c>
      <c r="K36" s="21" t="n">
        <v>23</v>
      </c>
      <c r="L36" s="21" t="n">
        <v>28</v>
      </c>
      <c r="M36" s="10" t="n">
        <v>15000000</v>
      </c>
      <c r="N36" s="10" t="n">
        <v>0</v>
      </c>
      <c r="O36" s="11" t="n">
        <f aca="false">ROUND((M36+N36)*0.18,0)</f>
        <v>2700000</v>
      </c>
      <c r="P36" s="11" t="n">
        <f aca="false">M36+N36+O36</f>
        <v>17700000</v>
      </c>
      <c r="Q36" s="9" t="s">
        <v>385</v>
      </c>
      <c r="R36" s="8" t="s">
        <v>303</v>
      </c>
      <c r="S36" s="8" t="s">
        <v>293</v>
      </c>
    </row>
    <row r="37" customFormat="false" ht="15" hidden="false" customHeight="false" outlineLevel="0" collapsed="false">
      <c r="B37" s="8" t="s">
        <v>97</v>
      </c>
      <c r="C37" s="8" t="s">
        <v>310</v>
      </c>
      <c r="D37" s="9" t="s">
        <v>386</v>
      </c>
      <c r="E37" s="8" t="s">
        <v>299</v>
      </c>
      <c r="F37" s="8" t="s">
        <v>312</v>
      </c>
      <c r="G37" s="9" t="s">
        <v>387</v>
      </c>
      <c r="H37" s="21" t="n">
        <v>5</v>
      </c>
      <c r="I37" s="8" t="s">
        <v>288</v>
      </c>
      <c r="J37" s="8" t="s">
        <v>300</v>
      </c>
      <c r="K37" s="21" t="n">
        <v>29</v>
      </c>
      <c r="L37" s="21" t="n">
        <v>33</v>
      </c>
      <c r="M37" s="10" t="n">
        <v>70000000</v>
      </c>
      <c r="N37" s="10" t="n">
        <v>0</v>
      </c>
      <c r="O37" s="11" t="n">
        <f aca="false">ROUND((M37+N37)*0.18,0)</f>
        <v>12600000</v>
      </c>
      <c r="P37" s="11" t="n">
        <f aca="false">M37+N37+O37</f>
        <v>82600000</v>
      </c>
      <c r="Q37" s="9" t="s">
        <v>388</v>
      </c>
      <c r="R37" s="8" t="s">
        <v>303</v>
      </c>
      <c r="S37" s="8" t="s">
        <v>293</v>
      </c>
    </row>
    <row r="38" customFormat="false" ht="15" hidden="false" customHeight="false" outlineLevel="0" collapsed="false">
      <c r="B38" s="8" t="s">
        <v>97</v>
      </c>
      <c r="C38" s="8" t="s">
        <v>310</v>
      </c>
      <c r="D38" s="9" t="s">
        <v>386</v>
      </c>
      <c r="E38" s="8" t="s">
        <v>299</v>
      </c>
      <c r="F38" s="8" t="s">
        <v>315</v>
      </c>
      <c r="G38" s="9" t="s">
        <v>389</v>
      </c>
      <c r="H38" s="21" t="n">
        <v>4</v>
      </c>
      <c r="I38" s="8" t="s">
        <v>288</v>
      </c>
      <c r="J38" s="8" t="s">
        <v>312</v>
      </c>
      <c r="K38" s="21" t="n">
        <v>34</v>
      </c>
      <c r="L38" s="21" t="n">
        <v>37</v>
      </c>
      <c r="M38" s="10" t="n">
        <v>65000000</v>
      </c>
      <c r="N38" s="10" t="n">
        <v>0</v>
      </c>
      <c r="O38" s="11" t="n">
        <f aca="false">ROUND((M38+N38)*0.18,0)</f>
        <v>11700000</v>
      </c>
      <c r="P38" s="11" t="n">
        <f aca="false">M38+N38+O38</f>
        <v>76700000</v>
      </c>
      <c r="Q38" s="9" t="s">
        <v>314</v>
      </c>
      <c r="R38" s="8" t="s">
        <v>303</v>
      </c>
      <c r="S38" s="8" t="s">
        <v>293</v>
      </c>
    </row>
    <row r="39" customFormat="false" ht="15" hidden="false" customHeight="false" outlineLevel="0" collapsed="false">
      <c r="B39" s="8" t="s">
        <v>97</v>
      </c>
      <c r="C39" s="8" t="s">
        <v>310</v>
      </c>
      <c r="D39" s="9" t="s">
        <v>386</v>
      </c>
      <c r="E39" s="8" t="s">
        <v>299</v>
      </c>
      <c r="F39" s="8" t="s">
        <v>318</v>
      </c>
      <c r="G39" s="9" t="s">
        <v>390</v>
      </c>
      <c r="H39" s="21" t="n">
        <v>6</v>
      </c>
      <c r="I39" s="8" t="s">
        <v>288</v>
      </c>
      <c r="J39" s="8" t="s">
        <v>315</v>
      </c>
      <c r="K39" s="21" t="n">
        <v>38</v>
      </c>
      <c r="L39" s="21" t="n">
        <v>43</v>
      </c>
      <c r="M39" s="10" t="n">
        <v>45000000</v>
      </c>
      <c r="N39" s="10" t="n">
        <v>0</v>
      </c>
      <c r="O39" s="11" t="n">
        <f aca="false">ROUND((M39+N39)*0.18,0)</f>
        <v>8100000</v>
      </c>
      <c r="P39" s="11" t="n">
        <f aca="false">M39+N39+O39</f>
        <v>53100000</v>
      </c>
      <c r="Q39" s="9" t="s">
        <v>314</v>
      </c>
      <c r="R39" s="8" t="s">
        <v>303</v>
      </c>
      <c r="S39" s="8" t="s">
        <v>293</v>
      </c>
    </row>
    <row r="40" customFormat="false" ht="15" hidden="false" customHeight="false" outlineLevel="0" collapsed="false">
      <c r="B40" s="8" t="s">
        <v>97</v>
      </c>
      <c r="C40" s="8" t="s">
        <v>320</v>
      </c>
      <c r="D40" s="9" t="s">
        <v>391</v>
      </c>
      <c r="E40" s="8" t="s">
        <v>299</v>
      </c>
      <c r="F40" s="8" t="s">
        <v>323</v>
      </c>
      <c r="G40" s="9" t="s">
        <v>392</v>
      </c>
      <c r="H40" s="21" t="n">
        <v>7</v>
      </c>
      <c r="I40" s="8" t="s">
        <v>288</v>
      </c>
      <c r="J40" s="8" t="s">
        <v>376</v>
      </c>
      <c r="K40" s="21" t="n">
        <v>23</v>
      </c>
      <c r="L40" s="21" t="n">
        <v>29</v>
      </c>
      <c r="M40" s="10" t="n">
        <v>190000000</v>
      </c>
      <c r="N40" s="10" t="n">
        <v>0</v>
      </c>
      <c r="O40" s="11" t="n">
        <f aca="false">ROUND((M40+N40)*0.18,0)</f>
        <v>34200000</v>
      </c>
      <c r="P40" s="11" t="n">
        <f aca="false">M40+N40+O40</f>
        <v>224200000</v>
      </c>
      <c r="Q40" s="9" t="s">
        <v>393</v>
      </c>
      <c r="R40" s="8" t="s">
        <v>303</v>
      </c>
      <c r="S40" s="8" t="s">
        <v>293</v>
      </c>
    </row>
    <row r="41" customFormat="false" ht="15" hidden="false" customHeight="false" outlineLevel="0" collapsed="false">
      <c r="B41" s="8" t="s">
        <v>97</v>
      </c>
      <c r="C41" s="8" t="s">
        <v>320</v>
      </c>
      <c r="D41" s="9" t="s">
        <v>391</v>
      </c>
      <c r="E41" s="8" t="s">
        <v>299</v>
      </c>
      <c r="F41" s="8" t="s">
        <v>326</v>
      </c>
      <c r="G41" s="9" t="s">
        <v>394</v>
      </c>
      <c r="H41" s="21" t="n">
        <v>6</v>
      </c>
      <c r="I41" s="8" t="s">
        <v>288</v>
      </c>
      <c r="J41" s="8" t="s">
        <v>315</v>
      </c>
      <c r="K41" s="21" t="n">
        <v>38</v>
      </c>
      <c r="L41" s="21" t="n">
        <v>43</v>
      </c>
      <c r="M41" s="10" t="n">
        <v>60000000</v>
      </c>
      <c r="N41" s="10" t="n">
        <v>0</v>
      </c>
      <c r="O41" s="11" t="n">
        <f aca="false">ROUND((M41+N41)*0.18,0)</f>
        <v>10800000</v>
      </c>
      <c r="P41" s="11" t="n">
        <f aca="false">M41+N41+O41</f>
        <v>70800000</v>
      </c>
      <c r="Q41" s="9" t="s">
        <v>314</v>
      </c>
      <c r="R41" s="8" t="s">
        <v>303</v>
      </c>
      <c r="S41" s="8" t="s">
        <v>293</v>
      </c>
    </row>
    <row r="42" customFormat="false" ht="15" hidden="false" customHeight="false" outlineLevel="0" collapsed="false">
      <c r="B42" s="8" t="s">
        <v>97</v>
      </c>
      <c r="C42" s="8" t="s">
        <v>320</v>
      </c>
      <c r="D42" s="9" t="s">
        <v>391</v>
      </c>
      <c r="E42" s="8" t="s">
        <v>299</v>
      </c>
      <c r="F42" s="8" t="s">
        <v>329</v>
      </c>
      <c r="G42" s="9" t="s">
        <v>395</v>
      </c>
      <c r="H42" s="21" t="n">
        <v>5</v>
      </c>
      <c r="I42" s="8" t="s">
        <v>288</v>
      </c>
      <c r="J42" s="8" t="s">
        <v>326</v>
      </c>
      <c r="K42" s="21" t="n">
        <v>44</v>
      </c>
      <c r="L42" s="21" t="n">
        <v>48</v>
      </c>
      <c r="M42" s="10" t="n">
        <v>30000000</v>
      </c>
      <c r="N42" s="10" t="n">
        <v>0</v>
      </c>
      <c r="O42" s="11" t="n">
        <f aca="false">ROUND((M42+N42)*0.18,0)</f>
        <v>5400000</v>
      </c>
      <c r="P42" s="11" t="n">
        <f aca="false">M42+N42+O42</f>
        <v>35400000</v>
      </c>
      <c r="Q42" s="9" t="s">
        <v>314</v>
      </c>
      <c r="R42" s="8" t="s">
        <v>303</v>
      </c>
      <c r="S42" s="8" t="s">
        <v>293</v>
      </c>
    </row>
    <row r="43" customFormat="false" ht="22.35" hidden="false" customHeight="false" outlineLevel="0" collapsed="false">
      <c r="B43" s="8" t="s">
        <v>97</v>
      </c>
      <c r="C43" s="8" t="s">
        <v>335</v>
      </c>
      <c r="D43" s="9" t="s">
        <v>396</v>
      </c>
      <c r="E43" s="8" t="s">
        <v>322</v>
      </c>
      <c r="F43" s="8" t="s">
        <v>337</v>
      </c>
      <c r="G43" s="9" t="s">
        <v>397</v>
      </c>
      <c r="H43" s="21" t="n">
        <v>12</v>
      </c>
      <c r="I43" s="8" t="s">
        <v>288</v>
      </c>
      <c r="J43" s="8" t="s">
        <v>376</v>
      </c>
      <c r="K43" s="21" t="n">
        <v>23</v>
      </c>
      <c r="L43" s="21" t="n">
        <v>34</v>
      </c>
      <c r="M43" s="10" t="n">
        <v>130000000</v>
      </c>
      <c r="N43" s="10" t="n">
        <v>18055556</v>
      </c>
      <c r="O43" s="11" t="n">
        <f aca="false">ROUND((M43+N43)*0.18,0)</f>
        <v>26650000</v>
      </c>
      <c r="P43" s="11" t="n">
        <f aca="false">M43+N43+O43</f>
        <v>174705556</v>
      </c>
      <c r="Q43" s="9" t="s">
        <v>398</v>
      </c>
      <c r="R43" s="8" t="s">
        <v>303</v>
      </c>
      <c r="S43" s="8" t="s">
        <v>293</v>
      </c>
    </row>
    <row r="44" customFormat="false" ht="22.35" hidden="false" customHeight="false" outlineLevel="0" collapsed="false">
      <c r="B44" s="8" t="s">
        <v>97</v>
      </c>
      <c r="C44" s="8" t="s">
        <v>335</v>
      </c>
      <c r="D44" s="9" t="s">
        <v>396</v>
      </c>
      <c r="E44" s="8" t="s">
        <v>322</v>
      </c>
      <c r="F44" s="8" t="s">
        <v>340</v>
      </c>
      <c r="G44" s="9" t="s">
        <v>327</v>
      </c>
      <c r="H44" s="21" t="n">
        <v>5</v>
      </c>
      <c r="I44" s="8" t="s">
        <v>288</v>
      </c>
      <c r="J44" s="8" t="s">
        <v>337</v>
      </c>
      <c r="K44" s="21" t="n">
        <v>35</v>
      </c>
      <c r="L44" s="21" t="n">
        <v>39</v>
      </c>
      <c r="M44" s="10" t="n">
        <v>0</v>
      </c>
      <c r="N44" s="10" t="n">
        <v>0</v>
      </c>
      <c r="O44" s="11" t="n">
        <f aca="false">ROUND((M44+N44)*0.18,0)</f>
        <v>0</v>
      </c>
      <c r="P44" s="11" t="n">
        <f aca="false">M44+N44+O44</f>
        <v>0</v>
      </c>
      <c r="Q44" s="9" t="s">
        <v>328</v>
      </c>
      <c r="R44" s="8" t="s">
        <v>284</v>
      </c>
      <c r="S44" s="8" t="s">
        <v>285</v>
      </c>
    </row>
    <row r="45" customFormat="false" ht="22.35" hidden="false" customHeight="false" outlineLevel="0" collapsed="false">
      <c r="B45" s="8" t="s">
        <v>97</v>
      </c>
      <c r="C45" s="8" t="s">
        <v>335</v>
      </c>
      <c r="D45" s="9" t="s">
        <v>396</v>
      </c>
      <c r="E45" s="8" t="s">
        <v>322</v>
      </c>
      <c r="F45" s="8" t="s">
        <v>341</v>
      </c>
      <c r="G45" s="9" t="s">
        <v>399</v>
      </c>
      <c r="H45" s="21" t="n">
        <v>5</v>
      </c>
      <c r="I45" s="8" t="s">
        <v>288</v>
      </c>
      <c r="J45" s="8" t="s">
        <v>329</v>
      </c>
      <c r="K45" s="21" t="n">
        <v>49</v>
      </c>
      <c r="L45" s="21" t="n">
        <v>53</v>
      </c>
      <c r="M45" s="10" t="n">
        <v>0</v>
      </c>
      <c r="N45" s="10" t="n">
        <v>0</v>
      </c>
      <c r="O45" s="11" t="n">
        <f aca="false">ROUND((M45+N45)*0.18,0)</f>
        <v>0</v>
      </c>
      <c r="P45" s="11" t="n">
        <f aca="false">M45+N45+O45</f>
        <v>0</v>
      </c>
      <c r="Q45" s="9" t="s">
        <v>334</v>
      </c>
      <c r="R45" s="8" t="s">
        <v>284</v>
      </c>
      <c r="S45" s="8" t="s">
        <v>293</v>
      </c>
    </row>
    <row r="46" customFormat="false" ht="22.35" hidden="false" customHeight="false" outlineLevel="0" collapsed="false">
      <c r="B46" s="8" t="s">
        <v>97</v>
      </c>
      <c r="C46" s="8" t="s">
        <v>343</v>
      </c>
      <c r="D46" s="9" t="s">
        <v>400</v>
      </c>
      <c r="E46" s="8" t="s">
        <v>322</v>
      </c>
      <c r="F46" s="8" t="s">
        <v>346</v>
      </c>
      <c r="G46" s="9" t="s">
        <v>401</v>
      </c>
      <c r="H46" s="21" t="n">
        <v>12</v>
      </c>
      <c r="I46" s="8" t="s">
        <v>288</v>
      </c>
      <c r="J46" s="8" t="s">
        <v>376</v>
      </c>
      <c r="K46" s="21" t="n">
        <v>23</v>
      </c>
      <c r="L46" s="21" t="n">
        <v>34</v>
      </c>
      <c r="M46" s="10" t="n">
        <v>110000000</v>
      </c>
      <c r="N46" s="10" t="n">
        <v>15277778</v>
      </c>
      <c r="O46" s="11" t="n">
        <f aca="false">ROUND((M46+N46)*0.18,0)</f>
        <v>22550000</v>
      </c>
      <c r="P46" s="11" t="n">
        <f aca="false">M46+N46+O46</f>
        <v>147827778</v>
      </c>
      <c r="Q46" s="9" t="s">
        <v>402</v>
      </c>
      <c r="R46" s="8" t="s">
        <v>303</v>
      </c>
      <c r="S46" s="8" t="s">
        <v>293</v>
      </c>
    </row>
    <row r="47" customFormat="false" ht="22.35" hidden="false" customHeight="false" outlineLevel="0" collapsed="false">
      <c r="B47" s="8" t="s">
        <v>97</v>
      </c>
      <c r="C47" s="8" t="s">
        <v>343</v>
      </c>
      <c r="D47" s="9" t="s">
        <v>400</v>
      </c>
      <c r="E47" s="8" t="s">
        <v>322</v>
      </c>
      <c r="F47" s="8" t="s">
        <v>348</v>
      </c>
      <c r="G47" s="9" t="s">
        <v>327</v>
      </c>
      <c r="H47" s="21" t="n">
        <v>5</v>
      </c>
      <c r="I47" s="8" t="s">
        <v>288</v>
      </c>
      <c r="J47" s="8" t="s">
        <v>346</v>
      </c>
      <c r="K47" s="21" t="n">
        <v>35</v>
      </c>
      <c r="L47" s="21" t="n">
        <v>39</v>
      </c>
      <c r="M47" s="10" t="n">
        <v>0</v>
      </c>
      <c r="N47" s="10" t="n">
        <v>0</v>
      </c>
      <c r="O47" s="11" t="n">
        <f aca="false">ROUND((M47+N47)*0.18,0)</f>
        <v>0</v>
      </c>
      <c r="P47" s="11" t="n">
        <f aca="false">M47+N47+O47</f>
        <v>0</v>
      </c>
      <c r="Q47" s="9" t="s">
        <v>328</v>
      </c>
      <c r="R47" s="8" t="s">
        <v>284</v>
      </c>
      <c r="S47" s="8" t="s">
        <v>285</v>
      </c>
    </row>
    <row r="48" customFormat="false" ht="22.35" hidden="false" customHeight="false" outlineLevel="0" collapsed="false">
      <c r="B48" s="8" t="s">
        <v>97</v>
      </c>
      <c r="C48" s="8" t="s">
        <v>343</v>
      </c>
      <c r="D48" s="9" t="s">
        <v>400</v>
      </c>
      <c r="E48" s="8" t="s">
        <v>322</v>
      </c>
      <c r="F48" s="8" t="s">
        <v>403</v>
      </c>
      <c r="G48" s="9" t="s">
        <v>404</v>
      </c>
      <c r="H48" s="21" t="n">
        <v>5</v>
      </c>
      <c r="I48" s="8" t="s">
        <v>288</v>
      </c>
      <c r="J48" s="8" t="s">
        <v>341</v>
      </c>
      <c r="K48" s="21" t="n">
        <v>54</v>
      </c>
      <c r="L48" s="21" t="n">
        <v>58</v>
      </c>
      <c r="M48" s="10" t="n">
        <v>0</v>
      </c>
      <c r="N48" s="10" t="n">
        <v>0</v>
      </c>
      <c r="O48" s="11" t="n">
        <f aca="false">ROUND((M48+N48)*0.18,0)</f>
        <v>0</v>
      </c>
      <c r="P48" s="11" t="n">
        <f aca="false">M48+N48+O48</f>
        <v>0</v>
      </c>
      <c r="Q48" s="9" t="s">
        <v>334</v>
      </c>
      <c r="R48" s="8" t="s">
        <v>284</v>
      </c>
      <c r="S48" s="8" t="s">
        <v>293</v>
      </c>
    </row>
    <row r="49" customFormat="false" ht="22.35" hidden="false" customHeight="false" outlineLevel="0" collapsed="false">
      <c r="B49" s="8" t="s">
        <v>97</v>
      </c>
      <c r="C49" s="8" t="s">
        <v>351</v>
      </c>
      <c r="D49" s="9" t="s">
        <v>405</v>
      </c>
      <c r="E49" s="8" t="s">
        <v>345</v>
      </c>
      <c r="F49" s="8" t="s">
        <v>353</v>
      </c>
      <c r="G49" s="9" t="s">
        <v>406</v>
      </c>
      <c r="H49" s="21" t="n">
        <v>10</v>
      </c>
      <c r="I49" s="8" t="s">
        <v>288</v>
      </c>
      <c r="J49" s="8" t="s">
        <v>376</v>
      </c>
      <c r="K49" s="21" t="n">
        <v>23</v>
      </c>
      <c r="L49" s="21" t="n">
        <v>32</v>
      </c>
      <c r="M49" s="10" t="n">
        <v>80000000</v>
      </c>
      <c r="N49" s="10" t="n">
        <v>11111111</v>
      </c>
      <c r="O49" s="11" t="n">
        <f aca="false">ROUND((M49+N49)*0.18,0)</f>
        <v>16400000</v>
      </c>
      <c r="P49" s="11" t="n">
        <f aca="false">M49+N49+O49</f>
        <v>107511111</v>
      </c>
      <c r="Q49" s="9" t="s">
        <v>407</v>
      </c>
      <c r="R49" s="8" t="s">
        <v>303</v>
      </c>
      <c r="S49" s="8" t="s">
        <v>293</v>
      </c>
    </row>
    <row r="50" customFormat="false" ht="15" hidden="false" customHeight="false" outlineLevel="0" collapsed="false">
      <c r="B50" s="8" t="s">
        <v>97</v>
      </c>
      <c r="C50" s="8" t="s">
        <v>351</v>
      </c>
      <c r="D50" s="9" t="s">
        <v>405</v>
      </c>
      <c r="E50" s="8" t="s">
        <v>345</v>
      </c>
      <c r="F50" s="8" t="s">
        <v>356</v>
      </c>
      <c r="G50" s="9" t="s">
        <v>327</v>
      </c>
      <c r="H50" s="21" t="n">
        <v>5</v>
      </c>
      <c r="I50" s="8" t="s">
        <v>288</v>
      </c>
      <c r="J50" s="8" t="s">
        <v>353</v>
      </c>
      <c r="K50" s="21" t="n">
        <v>33</v>
      </c>
      <c r="L50" s="21" t="n">
        <v>37</v>
      </c>
      <c r="M50" s="10" t="n">
        <v>0</v>
      </c>
      <c r="N50" s="10" t="n">
        <v>0</v>
      </c>
      <c r="O50" s="11" t="n">
        <f aca="false">ROUND((M50+N50)*0.18,0)</f>
        <v>0</v>
      </c>
      <c r="P50" s="11" t="n">
        <f aca="false">M50+N50+O50</f>
        <v>0</v>
      </c>
      <c r="Q50" s="9" t="s">
        <v>328</v>
      </c>
      <c r="R50" s="8" t="s">
        <v>284</v>
      </c>
      <c r="S50" s="8" t="s">
        <v>285</v>
      </c>
    </row>
    <row r="51" customFormat="false" ht="15" hidden="false" customHeight="false" outlineLevel="0" collapsed="false">
      <c r="B51" s="8" t="s">
        <v>97</v>
      </c>
      <c r="C51" s="8" t="s">
        <v>351</v>
      </c>
      <c r="D51" s="9" t="s">
        <v>405</v>
      </c>
      <c r="E51" s="8" t="s">
        <v>345</v>
      </c>
      <c r="F51" s="8" t="s">
        <v>408</v>
      </c>
      <c r="G51" s="9" t="s">
        <v>409</v>
      </c>
      <c r="H51" s="21" t="n">
        <v>5</v>
      </c>
      <c r="I51" s="8" t="s">
        <v>288</v>
      </c>
      <c r="J51" s="8" t="s">
        <v>329</v>
      </c>
      <c r="K51" s="21" t="n">
        <v>49</v>
      </c>
      <c r="L51" s="21" t="n">
        <v>53</v>
      </c>
      <c r="M51" s="10" t="n">
        <v>15000000</v>
      </c>
      <c r="N51" s="10" t="n">
        <v>0</v>
      </c>
      <c r="O51" s="11" t="n">
        <f aca="false">ROUND((M51+N51)*0.18,0)</f>
        <v>2700000</v>
      </c>
      <c r="P51" s="11" t="n">
        <f aca="false">M51+N51+O51</f>
        <v>17700000</v>
      </c>
      <c r="Q51" s="9" t="s">
        <v>314</v>
      </c>
      <c r="R51" s="8" t="s">
        <v>303</v>
      </c>
      <c r="S51" s="8" t="s">
        <v>293</v>
      </c>
    </row>
    <row r="52" customFormat="false" ht="15" hidden="false" customHeight="false" outlineLevel="0" collapsed="false">
      <c r="B52" s="8" t="s">
        <v>97</v>
      </c>
      <c r="C52" s="8" t="s">
        <v>351</v>
      </c>
      <c r="D52" s="9" t="s">
        <v>405</v>
      </c>
      <c r="E52" s="8" t="s">
        <v>345</v>
      </c>
      <c r="F52" s="8" t="s">
        <v>410</v>
      </c>
      <c r="G52" s="9" t="s">
        <v>411</v>
      </c>
      <c r="H52" s="21" t="n">
        <v>3</v>
      </c>
      <c r="I52" s="8" t="s">
        <v>288</v>
      </c>
      <c r="J52" s="8" t="s">
        <v>408</v>
      </c>
      <c r="K52" s="21" t="n">
        <v>54</v>
      </c>
      <c r="L52" s="21" t="n">
        <v>56</v>
      </c>
      <c r="M52" s="10" t="n">
        <v>0</v>
      </c>
      <c r="N52" s="10" t="n">
        <v>0</v>
      </c>
      <c r="O52" s="11" t="n">
        <f aca="false">ROUND((M52+N52)*0.18,0)</f>
        <v>0</v>
      </c>
      <c r="P52" s="11" t="n">
        <f aca="false">M52+N52+O52</f>
        <v>0</v>
      </c>
      <c r="Q52" s="9" t="s">
        <v>412</v>
      </c>
      <c r="R52" s="8" t="s">
        <v>284</v>
      </c>
      <c r="S52" s="8" t="s">
        <v>285</v>
      </c>
    </row>
    <row r="53" customFormat="false" ht="15" hidden="false" customHeight="false" outlineLevel="0" collapsed="false">
      <c r="B53" s="8" t="s">
        <v>97</v>
      </c>
      <c r="C53" s="8" t="s">
        <v>359</v>
      </c>
      <c r="D53" s="9" t="s">
        <v>413</v>
      </c>
      <c r="E53" s="8" t="s">
        <v>345</v>
      </c>
      <c r="F53" s="8" t="s">
        <v>362</v>
      </c>
      <c r="G53" s="9" t="s">
        <v>414</v>
      </c>
      <c r="H53" s="21" t="n">
        <v>10</v>
      </c>
      <c r="I53" s="8" t="s">
        <v>288</v>
      </c>
      <c r="J53" s="8" t="s">
        <v>376</v>
      </c>
      <c r="K53" s="21" t="n">
        <v>23</v>
      </c>
      <c r="L53" s="21" t="n">
        <v>32</v>
      </c>
      <c r="M53" s="10" t="n">
        <v>40000000</v>
      </c>
      <c r="N53" s="10" t="n">
        <v>5555555</v>
      </c>
      <c r="O53" s="11" t="n">
        <f aca="false">ROUND((M53+N53)*0.18,0)</f>
        <v>8200000</v>
      </c>
      <c r="P53" s="11" t="n">
        <f aca="false">M53+N53+O53</f>
        <v>53755555</v>
      </c>
      <c r="Q53" s="9" t="s">
        <v>415</v>
      </c>
      <c r="R53" s="8" t="s">
        <v>303</v>
      </c>
      <c r="S53" s="8" t="s">
        <v>293</v>
      </c>
    </row>
    <row r="54" customFormat="false" ht="15" hidden="false" customHeight="false" outlineLevel="0" collapsed="false">
      <c r="B54" s="8" t="s">
        <v>97</v>
      </c>
      <c r="C54" s="8" t="s">
        <v>359</v>
      </c>
      <c r="D54" s="9" t="s">
        <v>413</v>
      </c>
      <c r="E54" s="8" t="s">
        <v>345</v>
      </c>
      <c r="F54" s="8" t="s">
        <v>364</v>
      </c>
      <c r="G54" s="9" t="s">
        <v>416</v>
      </c>
      <c r="H54" s="21" t="n">
        <v>4</v>
      </c>
      <c r="I54" s="8" t="s">
        <v>288</v>
      </c>
      <c r="J54" s="8" t="s">
        <v>410</v>
      </c>
      <c r="K54" s="21" t="n">
        <v>57</v>
      </c>
      <c r="L54" s="21" t="n">
        <v>60</v>
      </c>
      <c r="M54" s="10" t="n">
        <v>5000000</v>
      </c>
      <c r="N54" s="10" t="n">
        <v>0</v>
      </c>
      <c r="O54" s="11" t="n">
        <f aca="false">ROUND((M54+N54)*0.18,0)</f>
        <v>900000</v>
      </c>
      <c r="P54" s="11" t="n">
        <f aca="false">M54+N54+O54</f>
        <v>5900000</v>
      </c>
      <c r="Q54" s="9" t="s">
        <v>314</v>
      </c>
      <c r="R54" s="8" t="s">
        <v>303</v>
      </c>
      <c r="S54" s="8" t="s">
        <v>293</v>
      </c>
    </row>
    <row r="55" customFormat="false" ht="22.35" hidden="false" customHeight="false" outlineLevel="0" collapsed="false">
      <c r="B55" s="8" t="s">
        <v>97</v>
      </c>
      <c r="C55" s="8" t="s">
        <v>417</v>
      </c>
      <c r="D55" s="9" t="s">
        <v>418</v>
      </c>
      <c r="E55" s="8" t="s">
        <v>322</v>
      </c>
      <c r="F55" s="8" t="s">
        <v>419</v>
      </c>
      <c r="G55" s="9" t="s">
        <v>420</v>
      </c>
      <c r="H55" s="21" t="n">
        <v>5</v>
      </c>
      <c r="I55" s="8" t="s">
        <v>288</v>
      </c>
      <c r="J55" s="8" t="s">
        <v>318</v>
      </c>
      <c r="K55" s="21" t="n">
        <v>44</v>
      </c>
      <c r="L55" s="21" t="n">
        <v>48</v>
      </c>
      <c r="M55" s="10" t="n">
        <v>30000000</v>
      </c>
      <c r="N55" s="10" t="n">
        <v>0</v>
      </c>
      <c r="O55" s="11" t="n">
        <f aca="false">ROUND((M55+N55)*0.18,0)</f>
        <v>5400000</v>
      </c>
      <c r="P55" s="11" t="n">
        <f aca="false">M55+N55+O55</f>
        <v>35400000</v>
      </c>
      <c r="Q55" s="9" t="s">
        <v>421</v>
      </c>
      <c r="R55" s="8" t="s">
        <v>303</v>
      </c>
      <c r="S55" s="8" t="s">
        <v>293</v>
      </c>
    </row>
    <row r="56" customFormat="false" ht="22.35" hidden="false" customHeight="false" outlineLevel="0" collapsed="false">
      <c r="B56" s="8" t="s">
        <v>97</v>
      </c>
      <c r="C56" s="8" t="s">
        <v>417</v>
      </c>
      <c r="D56" s="9" t="s">
        <v>418</v>
      </c>
      <c r="E56" s="8" t="s">
        <v>322</v>
      </c>
      <c r="F56" s="8" t="s">
        <v>422</v>
      </c>
      <c r="G56" s="9" t="s">
        <v>423</v>
      </c>
      <c r="H56" s="21" t="n">
        <v>3</v>
      </c>
      <c r="I56" s="8" t="s">
        <v>288</v>
      </c>
      <c r="J56" s="8" t="s">
        <v>419</v>
      </c>
      <c r="K56" s="21" t="n">
        <v>49</v>
      </c>
      <c r="L56" s="21" t="n">
        <v>51</v>
      </c>
      <c r="M56" s="10" t="n">
        <v>10000000</v>
      </c>
      <c r="N56" s="10" t="n">
        <v>0</v>
      </c>
      <c r="O56" s="11" t="n">
        <f aca="false">ROUND((M56+N56)*0.18,0)</f>
        <v>1800000</v>
      </c>
      <c r="P56" s="11" t="n">
        <f aca="false">M56+N56+O56</f>
        <v>11800000</v>
      </c>
      <c r="Q56" s="9" t="s">
        <v>314</v>
      </c>
      <c r="R56" s="8" t="s">
        <v>303</v>
      </c>
      <c r="S56" s="8" t="s">
        <v>293</v>
      </c>
    </row>
    <row r="57" customFormat="false" ht="15" hidden="false" customHeight="false" outlineLevel="0" collapsed="false">
      <c r="B57" s="8" t="s">
        <v>97</v>
      </c>
      <c r="C57" s="8" t="s">
        <v>424</v>
      </c>
      <c r="D57" s="9" t="s">
        <v>425</v>
      </c>
      <c r="E57" s="8" t="s">
        <v>361</v>
      </c>
      <c r="F57" s="8" t="s">
        <v>426</v>
      </c>
      <c r="G57" s="9" t="s">
        <v>427</v>
      </c>
      <c r="H57" s="21" t="n">
        <v>3</v>
      </c>
      <c r="I57" s="8" t="s">
        <v>288</v>
      </c>
      <c r="J57" s="8" t="s">
        <v>403</v>
      </c>
      <c r="K57" s="21" t="n">
        <v>59</v>
      </c>
      <c r="L57" s="21" t="n">
        <v>61</v>
      </c>
      <c r="M57" s="10" t="n">
        <v>5000000</v>
      </c>
      <c r="N57" s="10" t="n">
        <v>0</v>
      </c>
      <c r="O57" s="11" t="n">
        <f aca="false">ROUND((M57+N57)*0.18,0)</f>
        <v>900000</v>
      </c>
      <c r="P57" s="11" t="n">
        <f aca="false">M57+N57+O57</f>
        <v>5900000</v>
      </c>
      <c r="Q57" s="9" t="s">
        <v>314</v>
      </c>
      <c r="R57" s="8" t="s">
        <v>303</v>
      </c>
      <c r="S57" s="8" t="s">
        <v>293</v>
      </c>
    </row>
    <row r="58" customFormat="false" ht="15" hidden="false" customHeight="false" outlineLevel="0" collapsed="false">
      <c r="B58" s="8" t="s">
        <v>97</v>
      </c>
      <c r="C58" s="8" t="s">
        <v>424</v>
      </c>
      <c r="D58" s="9" t="s">
        <v>425</v>
      </c>
      <c r="E58" s="8" t="s">
        <v>361</v>
      </c>
      <c r="F58" s="8" t="s">
        <v>428</v>
      </c>
      <c r="G58" s="9" t="s">
        <v>429</v>
      </c>
      <c r="H58" s="21" t="n">
        <v>2</v>
      </c>
      <c r="I58" s="8" t="s">
        <v>288</v>
      </c>
      <c r="J58" s="8" t="s">
        <v>426</v>
      </c>
      <c r="K58" s="21" t="n">
        <v>62</v>
      </c>
      <c r="L58" s="21" t="n">
        <v>63</v>
      </c>
      <c r="M58" s="10" t="n">
        <v>4000000</v>
      </c>
      <c r="N58" s="10" t="n">
        <v>0</v>
      </c>
      <c r="O58" s="11" t="n">
        <f aca="false">ROUND((M58+N58)*0.18,0)</f>
        <v>720000</v>
      </c>
      <c r="P58" s="11" t="n">
        <f aca="false">M58+N58+O58</f>
        <v>4720000</v>
      </c>
      <c r="Q58" s="9" t="s">
        <v>430</v>
      </c>
      <c r="R58" s="8" t="s">
        <v>284</v>
      </c>
      <c r="S58" s="8" t="s">
        <v>285</v>
      </c>
    </row>
    <row r="59" customFormat="false" ht="15" hidden="false" customHeight="false" outlineLevel="0" collapsed="false">
      <c r="B59" s="8" t="s">
        <v>97</v>
      </c>
      <c r="C59" s="8" t="s">
        <v>424</v>
      </c>
      <c r="D59" s="9" t="s">
        <v>425</v>
      </c>
      <c r="E59" s="8" t="s">
        <v>361</v>
      </c>
      <c r="F59" s="8" t="s">
        <v>431</v>
      </c>
      <c r="G59" s="9" t="s">
        <v>432</v>
      </c>
      <c r="H59" s="21" t="n">
        <v>8</v>
      </c>
      <c r="I59" s="8" t="s">
        <v>384</v>
      </c>
      <c r="J59" s="8" t="s">
        <v>426</v>
      </c>
      <c r="K59" s="21" t="n">
        <v>59</v>
      </c>
      <c r="L59" s="21" t="n">
        <v>66</v>
      </c>
      <c r="M59" s="10" t="n">
        <v>12000000</v>
      </c>
      <c r="N59" s="10" t="n">
        <v>0</v>
      </c>
      <c r="O59" s="11" t="n">
        <f aca="false">ROUND((M59+N59)*0.18,0)</f>
        <v>2160000</v>
      </c>
      <c r="P59" s="11" t="n">
        <f aca="false">M59+N59+O59</f>
        <v>14160000</v>
      </c>
      <c r="Q59" s="9" t="s">
        <v>433</v>
      </c>
      <c r="R59" s="8" t="s">
        <v>284</v>
      </c>
      <c r="S59" s="8" t="s">
        <v>285</v>
      </c>
    </row>
    <row r="60" customFormat="false" ht="15" hidden="false" customHeight="false" outlineLevel="0" collapsed="false">
      <c r="B60" s="8" t="s">
        <v>97</v>
      </c>
      <c r="C60" s="8" t="s">
        <v>424</v>
      </c>
      <c r="D60" s="9" t="s">
        <v>425</v>
      </c>
      <c r="E60" s="8" t="s">
        <v>361</v>
      </c>
      <c r="F60" s="8" t="s">
        <v>434</v>
      </c>
      <c r="G60" s="9" t="s">
        <v>435</v>
      </c>
      <c r="H60" s="21" t="n">
        <v>2</v>
      </c>
      <c r="I60" s="8" t="s">
        <v>288</v>
      </c>
      <c r="J60" s="8" t="s">
        <v>428</v>
      </c>
      <c r="K60" s="21" t="n">
        <v>64</v>
      </c>
      <c r="L60" s="21" t="n">
        <v>65</v>
      </c>
      <c r="M60" s="10" t="n">
        <v>4000000</v>
      </c>
      <c r="N60" s="10" t="n">
        <v>0</v>
      </c>
      <c r="O60" s="11" t="n">
        <f aca="false">ROUND((M60+N60)*0.18,0)</f>
        <v>720000</v>
      </c>
      <c r="P60" s="11" t="n">
        <f aca="false">M60+N60+O60</f>
        <v>4720000</v>
      </c>
      <c r="Q60" s="9" t="s">
        <v>436</v>
      </c>
      <c r="R60" s="8" t="s">
        <v>284</v>
      </c>
      <c r="S60" s="8" t="s">
        <v>285</v>
      </c>
    </row>
    <row r="61" customFormat="false" ht="15" hidden="false" customHeight="false" outlineLevel="0" collapsed="false">
      <c r="B61" s="8" t="s">
        <v>110</v>
      </c>
      <c r="C61" s="8" t="s">
        <v>279</v>
      </c>
      <c r="D61" s="9" t="s">
        <v>437</v>
      </c>
      <c r="E61" s="8" t="s">
        <v>81</v>
      </c>
      <c r="F61" s="8" t="s">
        <v>286</v>
      </c>
      <c r="G61" s="9" t="s">
        <v>438</v>
      </c>
      <c r="H61" s="21" t="n">
        <v>2</v>
      </c>
      <c r="I61" s="8" t="s">
        <v>384</v>
      </c>
      <c r="J61" s="8" t="s">
        <v>281</v>
      </c>
      <c r="K61" s="21" t="n">
        <v>1</v>
      </c>
      <c r="L61" s="21" t="n">
        <v>2</v>
      </c>
      <c r="M61" s="10" t="n">
        <v>29290000</v>
      </c>
      <c r="N61" s="10" t="n">
        <v>0</v>
      </c>
      <c r="O61" s="11" t="n">
        <f aca="false">ROUND((M61+N61)*0.18,0)</f>
        <v>5272200</v>
      </c>
      <c r="P61" s="11" t="n">
        <f aca="false">M61+N61+O61</f>
        <v>34562200</v>
      </c>
      <c r="Q61" s="9"/>
      <c r="R61" s="8" t="s">
        <v>293</v>
      </c>
      <c r="S61" s="8" t="s">
        <v>293</v>
      </c>
    </row>
    <row r="62" customFormat="false" ht="15" hidden="false" customHeight="false" outlineLevel="0" collapsed="false">
      <c r="B62" s="8" t="s">
        <v>110</v>
      </c>
      <c r="C62" s="8" t="s">
        <v>279</v>
      </c>
      <c r="D62" s="9" t="s">
        <v>437</v>
      </c>
      <c r="E62" s="8" t="s">
        <v>81</v>
      </c>
      <c r="F62" s="8" t="s">
        <v>290</v>
      </c>
      <c r="G62" s="9" t="s">
        <v>439</v>
      </c>
      <c r="H62" s="21" t="n">
        <v>6</v>
      </c>
      <c r="I62" s="8" t="s">
        <v>288</v>
      </c>
      <c r="J62" s="8" t="s">
        <v>281</v>
      </c>
      <c r="K62" s="21" t="n">
        <v>1</v>
      </c>
      <c r="L62" s="21" t="n">
        <v>6</v>
      </c>
      <c r="M62" s="10" t="n">
        <v>29290000</v>
      </c>
      <c r="N62" s="10" t="n">
        <v>0</v>
      </c>
      <c r="O62" s="11" t="n">
        <f aca="false">ROUND((M62+N62)*0.18,0)</f>
        <v>5272200</v>
      </c>
      <c r="P62" s="11" t="n">
        <f aca="false">M62+N62+O62</f>
        <v>34562200</v>
      </c>
      <c r="Q62" s="9"/>
      <c r="R62" s="8" t="s">
        <v>293</v>
      </c>
      <c r="S62" s="8" t="s">
        <v>293</v>
      </c>
    </row>
    <row r="63" customFormat="false" ht="15" hidden="false" customHeight="false" outlineLevel="0" collapsed="false">
      <c r="B63" s="8" t="s">
        <v>110</v>
      </c>
      <c r="C63" s="8" t="s">
        <v>279</v>
      </c>
      <c r="D63" s="9" t="s">
        <v>437</v>
      </c>
      <c r="E63" s="8" t="s">
        <v>81</v>
      </c>
      <c r="F63" s="8" t="s">
        <v>294</v>
      </c>
      <c r="G63" s="9" t="s">
        <v>440</v>
      </c>
      <c r="H63" s="21" t="n">
        <v>6</v>
      </c>
      <c r="I63" s="8" t="s">
        <v>288</v>
      </c>
      <c r="J63" s="8" t="s">
        <v>281</v>
      </c>
      <c r="K63" s="21" t="n">
        <v>1</v>
      </c>
      <c r="L63" s="21" t="n">
        <v>6</v>
      </c>
      <c r="M63" s="10" t="n">
        <v>29290000</v>
      </c>
      <c r="N63" s="10" t="n">
        <v>0</v>
      </c>
      <c r="O63" s="11" t="n">
        <f aca="false">ROUND((M63+N63)*0.18,0)</f>
        <v>5272200</v>
      </c>
      <c r="P63" s="11" t="n">
        <f aca="false">M63+N63+O63</f>
        <v>34562200</v>
      </c>
      <c r="Q63" s="9"/>
      <c r="R63" s="8" t="s">
        <v>293</v>
      </c>
      <c r="S63" s="8" t="s">
        <v>293</v>
      </c>
    </row>
    <row r="64" customFormat="false" ht="15" hidden="false" customHeight="false" outlineLevel="0" collapsed="false">
      <c r="B64" s="8" t="s">
        <v>110</v>
      </c>
      <c r="C64" s="8" t="s">
        <v>297</v>
      </c>
      <c r="D64" s="9" t="s">
        <v>441</v>
      </c>
      <c r="E64" s="8" t="s">
        <v>299</v>
      </c>
      <c r="F64" s="8" t="s">
        <v>300</v>
      </c>
      <c r="G64" s="9" t="s">
        <v>442</v>
      </c>
      <c r="H64" s="21" t="n">
        <v>4</v>
      </c>
      <c r="I64" s="8" t="s">
        <v>288</v>
      </c>
      <c r="J64" s="8" t="s">
        <v>290</v>
      </c>
      <c r="K64" s="21" t="n">
        <v>7</v>
      </c>
      <c r="L64" s="21" t="n">
        <v>10</v>
      </c>
      <c r="M64" s="10" t="n">
        <v>73225000</v>
      </c>
      <c r="N64" s="10" t="n">
        <v>0</v>
      </c>
      <c r="O64" s="11" t="n">
        <f aca="false">ROUND((M64+N64)*0.18,0)</f>
        <v>13180500</v>
      </c>
      <c r="P64" s="11" t="n">
        <f aca="false">M64+N64+O64</f>
        <v>86405500</v>
      </c>
      <c r="Q64" s="9"/>
      <c r="R64" s="8" t="s">
        <v>293</v>
      </c>
      <c r="S64" s="8" t="s">
        <v>293</v>
      </c>
    </row>
    <row r="65" customFormat="false" ht="15" hidden="false" customHeight="false" outlineLevel="0" collapsed="false">
      <c r="B65" s="8" t="s">
        <v>110</v>
      </c>
      <c r="C65" s="8" t="s">
        <v>297</v>
      </c>
      <c r="D65" s="9" t="s">
        <v>441</v>
      </c>
      <c r="E65" s="8" t="s">
        <v>299</v>
      </c>
      <c r="F65" s="8" t="s">
        <v>304</v>
      </c>
      <c r="G65" s="9" t="s">
        <v>443</v>
      </c>
      <c r="H65" s="21" t="n">
        <v>4</v>
      </c>
      <c r="I65" s="8" t="s">
        <v>288</v>
      </c>
      <c r="J65" s="8" t="s">
        <v>300</v>
      </c>
      <c r="K65" s="21" t="n">
        <v>11</v>
      </c>
      <c r="L65" s="21" t="n">
        <v>14</v>
      </c>
      <c r="M65" s="10" t="n">
        <v>73225000</v>
      </c>
      <c r="N65" s="10" t="n">
        <v>0</v>
      </c>
      <c r="O65" s="11" t="n">
        <f aca="false">ROUND((M65+N65)*0.18,0)</f>
        <v>13180500</v>
      </c>
      <c r="P65" s="11" t="n">
        <f aca="false">M65+N65+O65</f>
        <v>86405500</v>
      </c>
      <c r="Q65" s="9"/>
      <c r="R65" s="8" t="s">
        <v>293</v>
      </c>
      <c r="S65" s="8" t="s">
        <v>293</v>
      </c>
    </row>
    <row r="66" customFormat="false" ht="15" hidden="false" customHeight="false" outlineLevel="0" collapsed="false">
      <c r="B66" s="8" t="s">
        <v>110</v>
      </c>
      <c r="C66" s="8" t="s">
        <v>297</v>
      </c>
      <c r="D66" s="9" t="s">
        <v>441</v>
      </c>
      <c r="E66" s="8" t="s">
        <v>299</v>
      </c>
      <c r="F66" s="8" t="s">
        <v>307</v>
      </c>
      <c r="G66" s="9" t="s">
        <v>444</v>
      </c>
      <c r="H66" s="21" t="n">
        <v>5</v>
      </c>
      <c r="I66" s="8" t="s">
        <v>384</v>
      </c>
      <c r="J66" s="8" t="s">
        <v>304</v>
      </c>
      <c r="K66" s="21" t="n">
        <v>11</v>
      </c>
      <c r="L66" s="21" t="n">
        <v>15</v>
      </c>
      <c r="M66" s="10" t="n">
        <v>73225000</v>
      </c>
      <c r="N66" s="10" t="n">
        <v>0</v>
      </c>
      <c r="O66" s="11" t="n">
        <f aca="false">ROUND((M66+N66)*0.18,0)</f>
        <v>13180500</v>
      </c>
      <c r="P66" s="11" t="n">
        <f aca="false">M66+N66+O66</f>
        <v>86405500</v>
      </c>
      <c r="Q66" s="9"/>
      <c r="R66" s="8" t="s">
        <v>293</v>
      </c>
      <c r="S66" s="8" t="s">
        <v>293</v>
      </c>
    </row>
    <row r="67" customFormat="false" ht="15" hidden="false" customHeight="false" outlineLevel="0" collapsed="false">
      <c r="B67" s="8" t="s">
        <v>110</v>
      </c>
      <c r="C67" s="8" t="s">
        <v>297</v>
      </c>
      <c r="D67" s="9" t="s">
        <v>441</v>
      </c>
      <c r="E67" s="8" t="s">
        <v>299</v>
      </c>
      <c r="F67" s="8" t="s">
        <v>445</v>
      </c>
      <c r="G67" s="9" t="s">
        <v>446</v>
      </c>
      <c r="H67" s="21" t="n">
        <v>4</v>
      </c>
      <c r="I67" s="8" t="s">
        <v>288</v>
      </c>
      <c r="J67" s="8" t="s">
        <v>300</v>
      </c>
      <c r="K67" s="21" t="n">
        <v>11</v>
      </c>
      <c r="L67" s="21" t="n">
        <v>14</v>
      </c>
      <c r="M67" s="10" t="n">
        <v>73225000</v>
      </c>
      <c r="N67" s="10" t="n">
        <v>0</v>
      </c>
      <c r="O67" s="11" t="n">
        <f aca="false">ROUND((M67+N67)*0.18,0)</f>
        <v>13180500</v>
      </c>
      <c r="P67" s="11" t="n">
        <f aca="false">M67+N67+O67</f>
        <v>86405500</v>
      </c>
      <c r="Q67" s="9"/>
      <c r="R67" s="8" t="s">
        <v>293</v>
      </c>
      <c r="S67" s="8" t="s">
        <v>293</v>
      </c>
    </row>
    <row r="68" customFormat="false" ht="15" hidden="false" customHeight="false" outlineLevel="0" collapsed="false">
      <c r="B68" s="8" t="s">
        <v>110</v>
      </c>
      <c r="C68" s="8" t="s">
        <v>310</v>
      </c>
      <c r="D68" s="9" t="s">
        <v>447</v>
      </c>
      <c r="E68" s="8" t="s">
        <v>299</v>
      </c>
      <c r="F68" s="8" t="s">
        <v>312</v>
      </c>
      <c r="G68" s="9" t="s">
        <v>448</v>
      </c>
      <c r="H68" s="21" t="n">
        <v>5</v>
      </c>
      <c r="I68" s="8" t="s">
        <v>288</v>
      </c>
      <c r="J68" s="8" t="s">
        <v>300</v>
      </c>
      <c r="K68" s="21" t="n">
        <v>11</v>
      </c>
      <c r="L68" s="21" t="n">
        <v>15</v>
      </c>
      <c r="M68" s="10" t="n">
        <v>278255000</v>
      </c>
      <c r="N68" s="10" t="n">
        <v>0</v>
      </c>
      <c r="O68" s="11" t="n">
        <f aca="false">ROUND((M68+N68)*0.18,0)</f>
        <v>50085900</v>
      </c>
      <c r="P68" s="11" t="n">
        <f aca="false">M68+N68+O68</f>
        <v>328340900</v>
      </c>
      <c r="Q68" s="9"/>
      <c r="R68" s="8" t="s">
        <v>293</v>
      </c>
      <c r="S68" s="8" t="s">
        <v>293</v>
      </c>
    </row>
    <row r="69" customFormat="false" ht="15" hidden="false" customHeight="false" outlineLevel="0" collapsed="false">
      <c r="B69" s="8" t="s">
        <v>110</v>
      </c>
      <c r="C69" s="8" t="s">
        <v>310</v>
      </c>
      <c r="D69" s="9" t="s">
        <v>447</v>
      </c>
      <c r="E69" s="8" t="s">
        <v>299</v>
      </c>
      <c r="F69" s="8" t="s">
        <v>315</v>
      </c>
      <c r="G69" s="9" t="s">
        <v>449</v>
      </c>
      <c r="H69" s="21" t="n">
        <v>7</v>
      </c>
      <c r="I69" s="8" t="s">
        <v>288</v>
      </c>
      <c r="J69" s="8" t="s">
        <v>312</v>
      </c>
      <c r="K69" s="21" t="n">
        <v>16</v>
      </c>
      <c r="L69" s="21" t="n">
        <v>22</v>
      </c>
      <c r="M69" s="10" t="n">
        <v>278255000</v>
      </c>
      <c r="N69" s="10" t="n">
        <v>0</v>
      </c>
      <c r="O69" s="11" t="n">
        <f aca="false">ROUND((M69+N69)*0.18,0)</f>
        <v>50085900</v>
      </c>
      <c r="P69" s="11" t="n">
        <f aca="false">M69+N69+O69</f>
        <v>328340900</v>
      </c>
      <c r="Q69" s="9"/>
      <c r="R69" s="8" t="s">
        <v>293</v>
      </c>
      <c r="S69" s="8" t="s">
        <v>293</v>
      </c>
    </row>
    <row r="70" customFormat="false" ht="15" hidden="false" customHeight="false" outlineLevel="0" collapsed="false">
      <c r="B70" s="8" t="s">
        <v>110</v>
      </c>
      <c r="C70" s="8" t="s">
        <v>310</v>
      </c>
      <c r="D70" s="9" t="s">
        <v>447</v>
      </c>
      <c r="E70" s="8" t="s">
        <v>299</v>
      </c>
      <c r="F70" s="8" t="s">
        <v>318</v>
      </c>
      <c r="G70" s="9" t="s">
        <v>450</v>
      </c>
      <c r="H70" s="21" t="n">
        <v>8</v>
      </c>
      <c r="I70" s="8" t="s">
        <v>288</v>
      </c>
      <c r="J70" s="8" t="s">
        <v>315</v>
      </c>
      <c r="K70" s="21" t="n">
        <v>23</v>
      </c>
      <c r="L70" s="21" t="n">
        <v>30</v>
      </c>
      <c r="M70" s="10" t="n">
        <v>278255000</v>
      </c>
      <c r="N70" s="10" t="n">
        <v>0</v>
      </c>
      <c r="O70" s="11" t="n">
        <f aca="false">ROUND((M70+N70)*0.18,0)</f>
        <v>50085900</v>
      </c>
      <c r="P70" s="11" t="n">
        <f aca="false">M70+N70+O70</f>
        <v>328340900</v>
      </c>
      <c r="Q70" s="9"/>
      <c r="R70" s="8" t="s">
        <v>293</v>
      </c>
      <c r="S70" s="8" t="s">
        <v>293</v>
      </c>
    </row>
    <row r="71" customFormat="false" ht="15" hidden="false" customHeight="false" outlineLevel="0" collapsed="false">
      <c r="B71" s="8" t="s">
        <v>110</v>
      </c>
      <c r="C71" s="8" t="s">
        <v>310</v>
      </c>
      <c r="D71" s="9" t="s">
        <v>447</v>
      </c>
      <c r="E71" s="8" t="s">
        <v>299</v>
      </c>
      <c r="F71" s="8" t="s">
        <v>451</v>
      </c>
      <c r="G71" s="9" t="s">
        <v>452</v>
      </c>
      <c r="H71" s="21" t="n">
        <v>12</v>
      </c>
      <c r="I71" s="8" t="s">
        <v>288</v>
      </c>
      <c r="J71" s="8" t="s">
        <v>318</v>
      </c>
      <c r="K71" s="21" t="n">
        <v>31</v>
      </c>
      <c r="L71" s="21" t="n">
        <v>42</v>
      </c>
      <c r="M71" s="10" t="n">
        <v>278255000</v>
      </c>
      <c r="N71" s="10" t="n">
        <v>0</v>
      </c>
      <c r="O71" s="11" t="n">
        <f aca="false">ROUND((M71+N71)*0.18,0)</f>
        <v>50085900</v>
      </c>
      <c r="P71" s="11" t="n">
        <f aca="false">M71+N71+O71</f>
        <v>328340900</v>
      </c>
      <c r="Q71" s="9"/>
      <c r="R71" s="8" t="s">
        <v>293</v>
      </c>
      <c r="S71" s="8" t="s">
        <v>293</v>
      </c>
    </row>
    <row r="72" customFormat="false" ht="15" hidden="false" customHeight="false" outlineLevel="0" collapsed="false">
      <c r="B72" s="8" t="s">
        <v>110</v>
      </c>
      <c r="C72" s="8" t="s">
        <v>320</v>
      </c>
      <c r="D72" s="9" t="s">
        <v>453</v>
      </c>
      <c r="E72" s="8" t="s">
        <v>454</v>
      </c>
      <c r="F72" s="8" t="s">
        <v>323</v>
      </c>
      <c r="G72" s="9" t="s">
        <v>455</v>
      </c>
      <c r="H72" s="21" t="n">
        <v>6</v>
      </c>
      <c r="I72" s="8" t="s">
        <v>288</v>
      </c>
      <c r="J72" s="8" t="s">
        <v>315</v>
      </c>
      <c r="K72" s="21" t="n">
        <v>23</v>
      </c>
      <c r="L72" s="21" t="n">
        <v>28</v>
      </c>
      <c r="M72" s="10" t="n">
        <v>70296000</v>
      </c>
      <c r="N72" s="10" t="n">
        <v>5106000</v>
      </c>
      <c r="O72" s="11" t="n">
        <f aca="false">ROUND((M72+N72)*0.18,0)</f>
        <v>13572360</v>
      </c>
      <c r="P72" s="11" t="n">
        <f aca="false">M72+N72+O72</f>
        <v>88974360</v>
      </c>
      <c r="Q72" s="9"/>
      <c r="R72" s="8" t="s">
        <v>293</v>
      </c>
      <c r="S72" s="8" t="s">
        <v>293</v>
      </c>
    </row>
    <row r="73" customFormat="false" ht="15" hidden="false" customHeight="false" outlineLevel="0" collapsed="false">
      <c r="B73" s="8" t="s">
        <v>110</v>
      </c>
      <c r="C73" s="8" t="s">
        <v>320</v>
      </c>
      <c r="D73" s="9" t="s">
        <v>453</v>
      </c>
      <c r="E73" s="8" t="s">
        <v>454</v>
      </c>
      <c r="F73" s="8" t="s">
        <v>326</v>
      </c>
      <c r="G73" s="9" t="s">
        <v>456</v>
      </c>
      <c r="H73" s="21" t="n">
        <v>2</v>
      </c>
      <c r="I73" s="8" t="s">
        <v>288</v>
      </c>
      <c r="J73" s="8" t="s">
        <v>323</v>
      </c>
      <c r="K73" s="21" t="n">
        <v>29</v>
      </c>
      <c r="L73" s="21" t="n">
        <v>30</v>
      </c>
      <c r="M73" s="10" t="n">
        <v>70296000</v>
      </c>
      <c r="N73" s="10" t="n">
        <v>5106000</v>
      </c>
      <c r="O73" s="11" t="n">
        <f aca="false">ROUND((M73+N73)*0.18,0)</f>
        <v>13572360</v>
      </c>
      <c r="P73" s="11" t="n">
        <f aca="false">M73+N73+O73</f>
        <v>88974360</v>
      </c>
      <c r="Q73" s="9"/>
      <c r="R73" s="8" t="s">
        <v>293</v>
      </c>
      <c r="S73" s="8" t="s">
        <v>293</v>
      </c>
    </row>
    <row r="74" customFormat="false" ht="15" hidden="false" customHeight="false" outlineLevel="0" collapsed="false">
      <c r="B74" s="8" t="s">
        <v>110</v>
      </c>
      <c r="C74" s="8" t="s">
        <v>320</v>
      </c>
      <c r="D74" s="9" t="s">
        <v>453</v>
      </c>
      <c r="E74" s="8" t="s">
        <v>454</v>
      </c>
      <c r="F74" s="8" t="s">
        <v>329</v>
      </c>
      <c r="G74" s="9" t="s">
        <v>400</v>
      </c>
      <c r="H74" s="21" t="n">
        <v>3</v>
      </c>
      <c r="I74" s="8" t="s">
        <v>384</v>
      </c>
      <c r="J74" s="8" t="s">
        <v>326</v>
      </c>
      <c r="K74" s="21" t="n">
        <v>29</v>
      </c>
      <c r="L74" s="21" t="n">
        <v>31</v>
      </c>
      <c r="M74" s="10" t="n">
        <v>70296000</v>
      </c>
      <c r="N74" s="10" t="n">
        <v>5106000</v>
      </c>
      <c r="O74" s="11" t="n">
        <f aca="false">ROUND((M74+N74)*0.18,0)</f>
        <v>13572360</v>
      </c>
      <c r="P74" s="11" t="n">
        <f aca="false">M74+N74+O74</f>
        <v>88974360</v>
      </c>
      <c r="Q74" s="9"/>
      <c r="R74" s="8" t="s">
        <v>293</v>
      </c>
      <c r="S74" s="8" t="s">
        <v>293</v>
      </c>
    </row>
    <row r="75" customFormat="false" ht="15" hidden="false" customHeight="false" outlineLevel="0" collapsed="false">
      <c r="B75" s="8" t="s">
        <v>110</v>
      </c>
      <c r="C75" s="8" t="s">
        <v>320</v>
      </c>
      <c r="D75" s="9" t="s">
        <v>453</v>
      </c>
      <c r="E75" s="8" t="s">
        <v>454</v>
      </c>
      <c r="F75" s="8" t="s">
        <v>332</v>
      </c>
      <c r="G75" s="9" t="s">
        <v>457</v>
      </c>
      <c r="H75" s="21" t="n">
        <v>3</v>
      </c>
      <c r="I75" s="8" t="s">
        <v>288</v>
      </c>
      <c r="J75" s="8" t="s">
        <v>326</v>
      </c>
      <c r="K75" s="21" t="n">
        <v>31</v>
      </c>
      <c r="L75" s="21" t="n">
        <v>33</v>
      </c>
      <c r="M75" s="10" t="n">
        <v>70296000</v>
      </c>
      <c r="N75" s="10" t="n">
        <v>5106000</v>
      </c>
      <c r="O75" s="11" t="n">
        <f aca="false">ROUND((M75+N75)*0.18,0)</f>
        <v>13572360</v>
      </c>
      <c r="P75" s="11" t="n">
        <f aca="false">M75+N75+O75</f>
        <v>88974360</v>
      </c>
      <c r="Q75" s="9"/>
      <c r="R75" s="8" t="s">
        <v>293</v>
      </c>
      <c r="S75" s="8" t="s">
        <v>293</v>
      </c>
    </row>
    <row r="76" customFormat="false" ht="15" hidden="false" customHeight="false" outlineLevel="0" collapsed="false">
      <c r="B76" s="8" t="s">
        <v>110</v>
      </c>
      <c r="C76" s="8" t="s">
        <v>320</v>
      </c>
      <c r="D76" s="9" t="s">
        <v>453</v>
      </c>
      <c r="E76" s="8" t="s">
        <v>454</v>
      </c>
      <c r="F76" s="8" t="s">
        <v>458</v>
      </c>
      <c r="G76" s="9" t="s">
        <v>459</v>
      </c>
      <c r="H76" s="21" t="n">
        <v>2</v>
      </c>
      <c r="I76" s="8" t="s">
        <v>288</v>
      </c>
      <c r="J76" s="8" t="s">
        <v>332</v>
      </c>
      <c r="K76" s="21" t="n">
        <v>34</v>
      </c>
      <c r="L76" s="21" t="n">
        <v>35</v>
      </c>
      <c r="M76" s="10" t="n">
        <v>70296000</v>
      </c>
      <c r="N76" s="10" t="n">
        <v>5106000</v>
      </c>
      <c r="O76" s="11" t="n">
        <f aca="false">ROUND((M76+N76)*0.18,0)</f>
        <v>13572360</v>
      </c>
      <c r="P76" s="11" t="n">
        <f aca="false">M76+N76+O76</f>
        <v>88974360</v>
      </c>
      <c r="Q76" s="9"/>
      <c r="R76" s="8" t="s">
        <v>293</v>
      </c>
      <c r="S76" s="8" t="s">
        <v>293</v>
      </c>
    </row>
    <row r="77" customFormat="false" ht="15" hidden="false" customHeight="false" outlineLevel="0" collapsed="false">
      <c r="B77" s="8" t="s">
        <v>110</v>
      </c>
      <c r="C77" s="8" t="s">
        <v>335</v>
      </c>
      <c r="D77" s="9" t="s">
        <v>460</v>
      </c>
      <c r="E77" s="8" t="s">
        <v>454</v>
      </c>
      <c r="F77" s="8" t="s">
        <v>337</v>
      </c>
      <c r="G77" s="9" t="s">
        <v>455</v>
      </c>
      <c r="H77" s="21" t="n">
        <v>8</v>
      </c>
      <c r="I77" s="8" t="s">
        <v>288</v>
      </c>
      <c r="J77" s="8" t="s">
        <v>451</v>
      </c>
      <c r="K77" s="21" t="n">
        <v>43</v>
      </c>
      <c r="L77" s="21" t="n">
        <v>50</v>
      </c>
      <c r="M77" s="10" t="n">
        <v>126923333</v>
      </c>
      <c r="N77" s="10" t="n">
        <v>9928333</v>
      </c>
      <c r="O77" s="11" t="n">
        <f aca="false">ROUND((M77+N77)*0.18,0)</f>
        <v>24633300</v>
      </c>
      <c r="P77" s="11" t="n">
        <f aca="false">M77+N77+O77</f>
        <v>161484966</v>
      </c>
      <c r="Q77" s="9"/>
      <c r="R77" s="8" t="s">
        <v>293</v>
      </c>
      <c r="S77" s="8" t="s">
        <v>293</v>
      </c>
    </row>
    <row r="78" customFormat="false" ht="15" hidden="false" customHeight="false" outlineLevel="0" collapsed="false">
      <c r="B78" s="8" t="s">
        <v>110</v>
      </c>
      <c r="C78" s="8" t="s">
        <v>335</v>
      </c>
      <c r="D78" s="9" t="s">
        <v>460</v>
      </c>
      <c r="E78" s="8" t="s">
        <v>454</v>
      </c>
      <c r="F78" s="8" t="s">
        <v>340</v>
      </c>
      <c r="G78" s="9" t="s">
        <v>400</v>
      </c>
      <c r="H78" s="21" t="n">
        <v>5</v>
      </c>
      <c r="I78" s="8" t="s">
        <v>288</v>
      </c>
      <c r="J78" s="8" t="s">
        <v>337</v>
      </c>
      <c r="K78" s="21" t="n">
        <v>51</v>
      </c>
      <c r="L78" s="21" t="n">
        <v>55</v>
      </c>
      <c r="M78" s="10" t="n">
        <v>126923333</v>
      </c>
      <c r="N78" s="10" t="n">
        <v>9928333</v>
      </c>
      <c r="O78" s="11" t="n">
        <f aca="false">ROUND((M78+N78)*0.18,0)</f>
        <v>24633300</v>
      </c>
      <c r="P78" s="11" t="n">
        <f aca="false">M78+N78+O78</f>
        <v>161484966</v>
      </c>
      <c r="Q78" s="9"/>
      <c r="R78" s="8" t="s">
        <v>293</v>
      </c>
      <c r="S78" s="8" t="s">
        <v>293</v>
      </c>
    </row>
    <row r="79" customFormat="false" ht="15" hidden="false" customHeight="false" outlineLevel="0" collapsed="false">
      <c r="B79" s="8" t="s">
        <v>110</v>
      </c>
      <c r="C79" s="8" t="s">
        <v>335</v>
      </c>
      <c r="D79" s="9" t="s">
        <v>460</v>
      </c>
      <c r="E79" s="8" t="s">
        <v>454</v>
      </c>
      <c r="F79" s="8" t="s">
        <v>341</v>
      </c>
      <c r="G79" s="9" t="s">
        <v>457</v>
      </c>
      <c r="H79" s="21" t="n">
        <v>4</v>
      </c>
      <c r="I79" s="8" t="s">
        <v>384</v>
      </c>
      <c r="J79" s="8" t="s">
        <v>340</v>
      </c>
      <c r="K79" s="21" t="n">
        <v>51</v>
      </c>
      <c r="L79" s="21" t="n">
        <v>54</v>
      </c>
      <c r="M79" s="10" t="n">
        <v>126923333</v>
      </c>
      <c r="N79" s="10" t="n">
        <v>9928333</v>
      </c>
      <c r="O79" s="11" t="n">
        <f aca="false">ROUND((M79+N79)*0.18,0)</f>
        <v>24633300</v>
      </c>
      <c r="P79" s="11" t="n">
        <f aca="false">M79+N79+O79</f>
        <v>161484966</v>
      </c>
      <c r="Q79" s="9"/>
      <c r="R79" s="8" t="s">
        <v>293</v>
      </c>
      <c r="S79" s="8" t="s">
        <v>293</v>
      </c>
    </row>
    <row r="80" customFormat="false" ht="15" hidden="false" customHeight="false" outlineLevel="0" collapsed="false">
      <c r="B80" s="8" t="s">
        <v>110</v>
      </c>
      <c r="C80" s="8" t="s">
        <v>335</v>
      </c>
      <c r="D80" s="9" t="s">
        <v>460</v>
      </c>
      <c r="E80" s="8" t="s">
        <v>454</v>
      </c>
      <c r="F80" s="8" t="s">
        <v>461</v>
      </c>
      <c r="G80" s="9" t="s">
        <v>462</v>
      </c>
      <c r="H80" s="21" t="n">
        <v>5</v>
      </c>
      <c r="I80" s="8" t="s">
        <v>288</v>
      </c>
      <c r="J80" s="8" t="s">
        <v>340</v>
      </c>
      <c r="K80" s="21" t="n">
        <v>56</v>
      </c>
      <c r="L80" s="21" t="n">
        <v>60</v>
      </c>
      <c r="M80" s="10" t="n">
        <v>126923333</v>
      </c>
      <c r="N80" s="10" t="n">
        <v>9928333</v>
      </c>
      <c r="O80" s="11" t="n">
        <f aca="false">ROUND((M80+N80)*0.18,0)</f>
        <v>24633300</v>
      </c>
      <c r="P80" s="11" t="n">
        <f aca="false">M80+N80+O80</f>
        <v>161484966</v>
      </c>
      <c r="Q80" s="9"/>
      <c r="R80" s="8" t="s">
        <v>293</v>
      </c>
      <c r="S80" s="8" t="s">
        <v>293</v>
      </c>
    </row>
    <row r="81" customFormat="false" ht="15" hidden="false" customHeight="false" outlineLevel="0" collapsed="false">
      <c r="B81" s="8" t="s">
        <v>110</v>
      </c>
      <c r="C81" s="8" t="s">
        <v>335</v>
      </c>
      <c r="D81" s="9" t="s">
        <v>460</v>
      </c>
      <c r="E81" s="8" t="s">
        <v>454</v>
      </c>
      <c r="F81" s="8" t="s">
        <v>463</v>
      </c>
      <c r="G81" s="9" t="s">
        <v>464</v>
      </c>
      <c r="H81" s="21" t="n">
        <v>4</v>
      </c>
      <c r="I81" s="8" t="s">
        <v>288</v>
      </c>
      <c r="J81" s="8" t="s">
        <v>461</v>
      </c>
      <c r="K81" s="21" t="n">
        <v>61</v>
      </c>
      <c r="L81" s="21" t="n">
        <v>64</v>
      </c>
      <c r="M81" s="10" t="n">
        <v>126923333</v>
      </c>
      <c r="N81" s="10" t="n">
        <v>9928333</v>
      </c>
      <c r="O81" s="11" t="n">
        <f aca="false">ROUND((M81+N81)*0.18,0)</f>
        <v>24633300</v>
      </c>
      <c r="P81" s="11" t="n">
        <f aca="false">M81+N81+O81</f>
        <v>161484966</v>
      </c>
      <c r="Q81" s="9"/>
      <c r="R81" s="8" t="s">
        <v>293</v>
      </c>
      <c r="S81" s="8" t="s">
        <v>293</v>
      </c>
    </row>
    <row r="82" customFormat="false" ht="15" hidden="false" customHeight="false" outlineLevel="0" collapsed="false">
      <c r="B82" s="8" t="s">
        <v>110</v>
      </c>
      <c r="C82" s="8" t="s">
        <v>335</v>
      </c>
      <c r="D82" s="9" t="s">
        <v>460</v>
      </c>
      <c r="E82" s="8" t="s">
        <v>454</v>
      </c>
      <c r="F82" s="8" t="s">
        <v>465</v>
      </c>
      <c r="G82" s="9" t="s">
        <v>466</v>
      </c>
      <c r="H82" s="21" t="n">
        <v>3</v>
      </c>
      <c r="I82" s="8" t="s">
        <v>288</v>
      </c>
      <c r="J82" s="8" t="s">
        <v>463</v>
      </c>
      <c r="K82" s="21" t="n">
        <v>65</v>
      </c>
      <c r="L82" s="21" t="n">
        <v>67</v>
      </c>
      <c r="M82" s="10" t="n">
        <v>126923335</v>
      </c>
      <c r="N82" s="10" t="n">
        <v>9928335</v>
      </c>
      <c r="O82" s="11" t="n">
        <f aca="false">ROUND((M82+N82)*0.18,0)</f>
        <v>24633301</v>
      </c>
      <c r="P82" s="11" t="n">
        <f aca="false">M82+N82+O82</f>
        <v>161484971</v>
      </c>
      <c r="Q82" s="9"/>
      <c r="R82" s="8" t="s">
        <v>293</v>
      </c>
      <c r="S82" s="8" t="s">
        <v>293</v>
      </c>
    </row>
    <row r="83" customFormat="false" ht="15" hidden="false" customHeight="false" outlineLevel="0" collapsed="false">
      <c r="B83" s="8" t="s">
        <v>110</v>
      </c>
      <c r="C83" s="8" t="s">
        <v>343</v>
      </c>
      <c r="D83" s="9" t="s">
        <v>467</v>
      </c>
      <c r="E83" s="8" t="s">
        <v>361</v>
      </c>
      <c r="F83" s="8" t="s">
        <v>346</v>
      </c>
      <c r="G83" s="9" t="s">
        <v>468</v>
      </c>
      <c r="H83" s="21" t="n">
        <v>4</v>
      </c>
      <c r="I83" s="8" t="s">
        <v>288</v>
      </c>
      <c r="J83" s="8" t="s">
        <v>445</v>
      </c>
      <c r="K83" s="21" t="n">
        <v>15</v>
      </c>
      <c r="L83" s="21" t="n">
        <v>18</v>
      </c>
      <c r="M83" s="10" t="n">
        <v>43935000</v>
      </c>
      <c r="N83" s="10" t="n">
        <v>0</v>
      </c>
      <c r="O83" s="11" t="n">
        <f aca="false">ROUND((M83+N83)*0.18,0)</f>
        <v>7908300</v>
      </c>
      <c r="P83" s="11" t="n">
        <f aca="false">M83+N83+O83</f>
        <v>51843300</v>
      </c>
      <c r="Q83" s="9"/>
      <c r="R83" s="8" t="s">
        <v>293</v>
      </c>
      <c r="S83" s="8" t="s">
        <v>293</v>
      </c>
    </row>
    <row r="84" customFormat="false" ht="15" hidden="false" customHeight="false" outlineLevel="0" collapsed="false">
      <c r="B84" s="8" t="s">
        <v>110</v>
      </c>
      <c r="C84" s="8" t="s">
        <v>343</v>
      </c>
      <c r="D84" s="9" t="s">
        <v>467</v>
      </c>
      <c r="E84" s="8" t="s">
        <v>361</v>
      </c>
      <c r="F84" s="8" t="s">
        <v>348</v>
      </c>
      <c r="G84" s="9" t="s">
        <v>469</v>
      </c>
      <c r="H84" s="21" t="n">
        <v>4</v>
      </c>
      <c r="I84" s="8" t="s">
        <v>288</v>
      </c>
      <c r="J84" s="8" t="s">
        <v>445</v>
      </c>
      <c r="K84" s="21" t="n">
        <v>15</v>
      </c>
      <c r="L84" s="21" t="n">
        <v>18</v>
      </c>
      <c r="M84" s="10" t="n">
        <v>43935000</v>
      </c>
      <c r="N84" s="10" t="n">
        <v>0</v>
      </c>
      <c r="O84" s="11" t="n">
        <f aca="false">ROUND((M84+N84)*0.18,0)</f>
        <v>7908300</v>
      </c>
      <c r="P84" s="11" t="n">
        <f aca="false">M84+N84+O84</f>
        <v>51843300</v>
      </c>
      <c r="Q84" s="9"/>
      <c r="R84" s="8" t="s">
        <v>293</v>
      </c>
      <c r="S84" s="8" t="s">
        <v>293</v>
      </c>
    </row>
    <row r="85" customFormat="false" ht="15" hidden="false" customHeight="false" outlineLevel="0" collapsed="false">
      <c r="B85" s="8" t="s">
        <v>110</v>
      </c>
      <c r="C85" s="8" t="s">
        <v>343</v>
      </c>
      <c r="D85" s="9" t="s">
        <v>467</v>
      </c>
      <c r="E85" s="8" t="s">
        <v>361</v>
      </c>
      <c r="F85" s="8" t="s">
        <v>403</v>
      </c>
      <c r="G85" s="9" t="s">
        <v>470</v>
      </c>
      <c r="H85" s="21" t="n">
        <v>3</v>
      </c>
      <c r="I85" s="8" t="s">
        <v>384</v>
      </c>
      <c r="J85" s="8" t="s">
        <v>348</v>
      </c>
      <c r="K85" s="21" t="n">
        <v>15</v>
      </c>
      <c r="L85" s="21" t="n">
        <v>17</v>
      </c>
      <c r="M85" s="10" t="n">
        <v>43935000</v>
      </c>
      <c r="N85" s="10" t="n">
        <v>0</v>
      </c>
      <c r="O85" s="11" t="n">
        <f aca="false">ROUND((M85+N85)*0.18,0)</f>
        <v>7908300</v>
      </c>
      <c r="P85" s="11" t="n">
        <f aca="false">M85+N85+O85</f>
        <v>51843300</v>
      </c>
      <c r="Q85" s="9"/>
      <c r="R85" s="8" t="s">
        <v>293</v>
      </c>
      <c r="S85" s="8" t="s">
        <v>293</v>
      </c>
    </row>
    <row r="86" customFormat="false" ht="15" hidden="false" customHeight="false" outlineLevel="0" collapsed="false">
      <c r="B86" s="8" t="s">
        <v>110</v>
      </c>
      <c r="C86" s="8" t="s">
        <v>343</v>
      </c>
      <c r="D86" s="9" t="s">
        <v>467</v>
      </c>
      <c r="E86" s="8" t="s">
        <v>361</v>
      </c>
      <c r="F86" s="8" t="s">
        <v>471</v>
      </c>
      <c r="G86" s="9" t="s">
        <v>472</v>
      </c>
      <c r="H86" s="21" t="n">
        <v>2</v>
      </c>
      <c r="I86" s="8" t="s">
        <v>288</v>
      </c>
      <c r="J86" s="8" t="s">
        <v>346</v>
      </c>
      <c r="K86" s="21" t="n">
        <v>19</v>
      </c>
      <c r="L86" s="21" t="n">
        <v>20</v>
      </c>
      <c r="M86" s="10" t="n">
        <v>43935000</v>
      </c>
      <c r="N86" s="10" t="n">
        <v>0</v>
      </c>
      <c r="O86" s="11" t="n">
        <f aca="false">ROUND((M86+N86)*0.18,0)</f>
        <v>7908300</v>
      </c>
      <c r="P86" s="11" t="n">
        <f aca="false">M86+N86+O86</f>
        <v>51843300</v>
      </c>
      <c r="Q86" s="9"/>
      <c r="R86" s="8" t="s">
        <v>293</v>
      </c>
      <c r="S86" s="8" t="s">
        <v>293</v>
      </c>
    </row>
    <row r="87" customFormat="false" ht="15" hidden="false" customHeight="false" outlineLevel="0" collapsed="false">
      <c r="B87" s="8" t="s">
        <v>110</v>
      </c>
      <c r="C87" s="8" t="s">
        <v>351</v>
      </c>
      <c r="D87" s="9" t="s">
        <v>473</v>
      </c>
      <c r="E87" s="8" t="s">
        <v>361</v>
      </c>
      <c r="F87" s="8" t="s">
        <v>353</v>
      </c>
      <c r="G87" s="9" t="s">
        <v>474</v>
      </c>
      <c r="H87" s="21" t="n">
        <v>3</v>
      </c>
      <c r="I87" s="8" t="s">
        <v>288</v>
      </c>
      <c r="J87" s="8" t="s">
        <v>465</v>
      </c>
      <c r="K87" s="21" t="n">
        <v>68</v>
      </c>
      <c r="L87" s="21" t="n">
        <v>70</v>
      </c>
      <c r="M87" s="10" t="n">
        <v>29290000</v>
      </c>
      <c r="N87" s="10" t="n">
        <v>0</v>
      </c>
      <c r="O87" s="11" t="n">
        <f aca="false">ROUND((M87+N87)*0.18,0)</f>
        <v>5272200</v>
      </c>
      <c r="P87" s="11" t="n">
        <f aca="false">M87+N87+O87</f>
        <v>34562200</v>
      </c>
      <c r="Q87" s="9"/>
      <c r="R87" s="8" t="s">
        <v>293</v>
      </c>
      <c r="S87" s="8" t="s">
        <v>293</v>
      </c>
    </row>
    <row r="88" customFormat="false" ht="15" hidden="false" customHeight="false" outlineLevel="0" collapsed="false">
      <c r="B88" s="8" t="s">
        <v>110</v>
      </c>
      <c r="C88" s="8" t="s">
        <v>351</v>
      </c>
      <c r="D88" s="9" t="s">
        <v>473</v>
      </c>
      <c r="E88" s="8" t="s">
        <v>361</v>
      </c>
      <c r="F88" s="8" t="s">
        <v>356</v>
      </c>
      <c r="G88" s="9" t="s">
        <v>475</v>
      </c>
      <c r="H88" s="21" t="n">
        <v>2</v>
      </c>
      <c r="I88" s="8" t="s">
        <v>288</v>
      </c>
      <c r="J88" s="8" t="s">
        <v>353</v>
      </c>
      <c r="K88" s="21" t="n">
        <v>71</v>
      </c>
      <c r="L88" s="21" t="n">
        <v>72</v>
      </c>
      <c r="M88" s="10" t="n">
        <v>29290000</v>
      </c>
      <c r="N88" s="10" t="n">
        <v>0</v>
      </c>
      <c r="O88" s="11" t="n">
        <f aca="false">ROUND((M88+N88)*0.18,0)</f>
        <v>5272200</v>
      </c>
      <c r="P88" s="11" t="n">
        <f aca="false">M88+N88+O88</f>
        <v>34562200</v>
      </c>
      <c r="Q88" s="9"/>
      <c r="R88" s="8" t="s">
        <v>293</v>
      </c>
      <c r="S88" s="8" t="s">
        <v>293</v>
      </c>
    </row>
    <row r="89" customFormat="false" ht="15" hidden="false" customHeight="false" outlineLevel="0" collapsed="false">
      <c r="B89" s="8" t="s">
        <v>110</v>
      </c>
      <c r="C89" s="8" t="s">
        <v>351</v>
      </c>
      <c r="D89" s="9" t="s">
        <v>473</v>
      </c>
      <c r="E89" s="8" t="s">
        <v>361</v>
      </c>
      <c r="F89" s="8" t="s">
        <v>408</v>
      </c>
      <c r="G89" s="9" t="s">
        <v>476</v>
      </c>
      <c r="H89" s="21" t="n">
        <v>3</v>
      </c>
      <c r="I89" s="8" t="s">
        <v>288</v>
      </c>
      <c r="J89" s="8" t="s">
        <v>356</v>
      </c>
      <c r="K89" s="21" t="n">
        <v>73</v>
      </c>
      <c r="L89" s="21" t="n">
        <v>75</v>
      </c>
      <c r="M89" s="10" t="n">
        <v>29290000</v>
      </c>
      <c r="N89" s="10" t="n">
        <v>0</v>
      </c>
      <c r="O89" s="11" t="n">
        <f aca="false">ROUND((M89+N89)*0.18,0)</f>
        <v>5272200</v>
      </c>
      <c r="P89" s="11" t="n">
        <f aca="false">M89+N89+O89</f>
        <v>34562200</v>
      </c>
      <c r="Q89" s="9"/>
      <c r="R89" s="8" t="s">
        <v>293</v>
      </c>
      <c r="S89" s="8" t="s">
        <v>293</v>
      </c>
    </row>
    <row r="90" customFormat="false" ht="15" hidden="false" customHeight="false" outlineLevel="0" collapsed="false">
      <c r="B90" s="8" t="s">
        <v>110</v>
      </c>
      <c r="C90" s="8" t="s">
        <v>351</v>
      </c>
      <c r="D90" s="9" t="s">
        <v>473</v>
      </c>
      <c r="E90" s="8" t="s">
        <v>361</v>
      </c>
      <c r="F90" s="8" t="s">
        <v>410</v>
      </c>
      <c r="G90" s="9" t="s">
        <v>477</v>
      </c>
      <c r="H90" s="21" t="n">
        <v>2</v>
      </c>
      <c r="I90" s="8" t="s">
        <v>288</v>
      </c>
      <c r="J90" s="8" t="s">
        <v>408</v>
      </c>
      <c r="K90" s="21" t="n">
        <v>76</v>
      </c>
      <c r="L90" s="21" t="n">
        <v>77</v>
      </c>
      <c r="M90" s="10" t="n">
        <v>29290000</v>
      </c>
      <c r="N90" s="10" t="n">
        <v>0</v>
      </c>
      <c r="O90" s="11" t="n">
        <f aca="false">ROUND((M90+N90)*0.18,0)</f>
        <v>5272200</v>
      </c>
      <c r="P90" s="11" t="n">
        <f aca="false">M90+N90+O90</f>
        <v>34562200</v>
      </c>
      <c r="Q90" s="9"/>
      <c r="R90" s="8" t="s">
        <v>293</v>
      </c>
      <c r="S90" s="8" t="s">
        <v>293</v>
      </c>
    </row>
    <row r="91" customFormat="false" ht="15" hidden="false" customHeight="false" outlineLevel="0" collapsed="false">
      <c r="B91" s="8" t="s">
        <v>170</v>
      </c>
      <c r="C91" s="8" t="s">
        <v>279</v>
      </c>
      <c r="D91" s="9" t="s">
        <v>478</v>
      </c>
      <c r="E91" s="8" t="s">
        <v>81</v>
      </c>
      <c r="F91" s="8" t="s">
        <v>281</v>
      </c>
      <c r="G91" s="9" t="s">
        <v>479</v>
      </c>
      <c r="H91" s="21" t="n">
        <v>6</v>
      </c>
      <c r="I91" s="8"/>
      <c r="J91" s="8"/>
      <c r="K91" s="21" t="n">
        <v>1</v>
      </c>
      <c r="L91" s="21" t="n">
        <v>6</v>
      </c>
      <c r="M91" s="10" t="n">
        <v>18000000</v>
      </c>
      <c r="N91" s="10" t="n">
        <v>0</v>
      </c>
      <c r="O91" s="11" t="n">
        <f aca="false">ROUND((M91+N91)*0.18,0)</f>
        <v>3240000</v>
      </c>
      <c r="P91" s="11" t="n">
        <f aca="false">M91+N91+O91</f>
        <v>21240000</v>
      </c>
      <c r="Q91" s="9"/>
      <c r="R91" s="8" t="s">
        <v>303</v>
      </c>
      <c r="S91" s="8" t="s">
        <v>293</v>
      </c>
    </row>
    <row r="92" customFormat="false" ht="15" hidden="false" customHeight="false" outlineLevel="0" collapsed="false">
      <c r="B92" s="8" t="s">
        <v>170</v>
      </c>
      <c r="C92" s="8" t="s">
        <v>279</v>
      </c>
      <c r="D92" s="9" t="s">
        <v>478</v>
      </c>
      <c r="E92" s="8" t="s">
        <v>81</v>
      </c>
      <c r="F92" s="8" t="s">
        <v>286</v>
      </c>
      <c r="G92" s="9" t="s">
        <v>480</v>
      </c>
      <c r="H92" s="21" t="n">
        <v>8</v>
      </c>
      <c r="I92" s="8" t="s">
        <v>288</v>
      </c>
      <c r="J92" s="8" t="s">
        <v>281</v>
      </c>
      <c r="K92" s="21" t="n">
        <v>7</v>
      </c>
      <c r="L92" s="21" t="n">
        <v>14</v>
      </c>
      <c r="M92" s="10" t="n">
        <v>18000000</v>
      </c>
      <c r="N92" s="10" t="n">
        <v>0</v>
      </c>
      <c r="O92" s="11" t="n">
        <f aca="false">ROUND((M92+N92)*0.18,0)</f>
        <v>3240000</v>
      </c>
      <c r="P92" s="11" t="n">
        <f aca="false">M92+N92+O92</f>
        <v>21240000</v>
      </c>
      <c r="Q92" s="9"/>
      <c r="R92" s="8" t="s">
        <v>303</v>
      </c>
      <c r="S92" s="8" t="s">
        <v>293</v>
      </c>
    </row>
    <row r="93" customFormat="false" ht="15" hidden="false" customHeight="false" outlineLevel="0" collapsed="false">
      <c r="B93" s="8" t="s">
        <v>170</v>
      </c>
      <c r="C93" s="8" t="s">
        <v>279</v>
      </c>
      <c r="D93" s="9" t="s">
        <v>478</v>
      </c>
      <c r="E93" s="8" t="s">
        <v>81</v>
      </c>
      <c r="F93" s="8" t="s">
        <v>290</v>
      </c>
      <c r="G93" s="9" t="s">
        <v>481</v>
      </c>
      <c r="H93" s="21" t="n">
        <v>5</v>
      </c>
      <c r="I93" s="8" t="s">
        <v>288</v>
      </c>
      <c r="J93" s="8" t="s">
        <v>281</v>
      </c>
      <c r="K93" s="21" t="n">
        <v>7</v>
      </c>
      <c r="L93" s="21" t="n">
        <v>11</v>
      </c>
      <c r="M93" s="10" t="n">
        <v>18000000</v>
      </c>
      <c r="N93" s="10" t="n">
        <v>0</v>
      </c>
      <c r="O93" s="11" t="n">
        <f aca="false">ROUND((M93+N93)*0.18,0)</f>
        <v>3240000</v>
      </c>
      <c r="P93" s="11" t="n">
        <f aca="false">M93+N93+O93</f>
        <v>21240000</v>
      </c>
      <c r="Q93" s="9"/>
      <c r="R93" s="8" t="s">
        <v>303</v>
      </c>
      <c r="S93" s="8" t="s">
        <v>293</v>
      </c>
    </row>
    <row r="94" customFormat="false" ht="15" hidden="false" customHeight="false" outlineLevel="0" collapsed="false">
      <c r="B94" s="8" t="s">
        <v>170</v>
      </c>
      <c r="C94" s="8" t="s">
        <v>279</v>
      </c>
      <c r="D94" s="9" t="s">
        <v>478</v>
      </c>
      <c r="E94" s="8" t="s">
        <v>81</v>
      </c>
      <c r="F94" s="8" t="s">
        <v>294</v>
      </c>
      <c r="G94" s="9" t="s">
        <v>439</v>
      </c>
      <c r="H94" s="21" t="n">
        <v>8</v>
      </c>
      <c r="I94" s="8" t="s">
        <v>288</v>
      </c>
      <c r="J94" s="8" t="s">
        <v>290</v>
      </c>
      <c r="K94" s="21" t="n">
        <v>12</v>
      </c>
      <c r="L94" s="21" t="n">
        <v>19</v>
      </c>
      <c r="M94" s="10" t="n">
        <v>18000000</v>
      </c>
      <c r="N94" s="10" t="n">
        <v>0</v>
      </c>
      <c r="O94" s="11" t="n">
        <f aca="false">ROUND((M94+N94)*0.18,0)</f>
        <v>3240000</v>
      </c>
      <c r="P94" s="11" t="n">
        <f aca="false">M94+N94+O94</f>
        <v>21240000</v>
      </c>
      <c r="Q94" s="9"/>
      <c r="R94" s="8" t="s">
        <v>303</v>
      </c>
      <c r="S94" s="8" t="s">
        <v>293</v>
      </c>
    </row>
    <row r="95" customFormat="false" ht="15" hidden="false" customHeight="false" outlineLevel="0" collapsed="false">
      <c r="B95" s="8" t="s">
        <v>170</v>
      </c>
      <c r="C95" s="8" t="s">
        <v>279</v>
      </c>
      <c r="D95" s="9" t="s">
        <v>478</v>
      </c>
      <c r="E95" s="8" t="s">
        <v>81</v>
      </c>
      <c r="F95" s="8" t="s">
        <v>376</v>
      </c>
      <c r="G95" s="9" t="s">
        <v>440</v>
      </c>
      <c r="H95" s="21" t="n">
        <v>6</v>
      </c>
      <c r="I95" s="8" t="s">
        <v>288</v>
      </c>
      <c r="J95" s="8" t="s">
        <v>290</v>
      </c>
      <c r="K95" s="21" t="n">
        <v>12</v>
      </c>
      <c r="L95" s="21" t="n">
        <v>17</v>
      </c>
      <c r="M95" s="10" t="n">
        <v>18000000</v>
      </c>
      <c r="N95" s="10" t="n">
        <v>0</v>
      </c>
      <c r="O95" s="11" t="n">
        <f aca="false">ROUND((M95+N95)*0.18,0)</f>
        <v>3240000</v>
      </c>
      <c r="P95" s="11" t="n">
        <f aca="false">M95+N95+O95</f>
        <v>21240000</v>
      </c>
      <c r="Q95" s="9"/>
      <c r="R95" s="8" t="s">
        <v>303</v>
      </c>
      <c r="S95" s="8" t="s">
        <v>293</v>
      </c>
    </row>
    <row r="96" customFormat="false" ht="15" hidden="false" customHeight="false" outlineLevel="0" collapsed="false">
      <c r="B96" s="8" t="s">
        <v>170</v>
      </c>
      <c r="C96" s="8" t="s">
        <v>297</v>
      </c>
      <c r="D96" s="9" t="s">
        <v>482</v>
      </c>
      <c r="E96" s="8" t="s">
        <v>299</v>
      </c>
      <c r="F96" s="8" t="s">
        <v>300</v>
      </c>
      <c r="G96" s="9" t="s">
        <v>442</v>
      </c>
      <c r="H96" s="21" t="n">
        <v>5</v>
      </c>
      <c r="I96" s="8" t="s">
        <v>288</v>
      </c>
      <c r="J96" s="8" t="s">
        <v>294</v>
      </c>
      <c r="K96" s="21" t="n">
        <v>20</v>
      </c>
      <c r="L96" s="21" t="n">
        <v>24</v>
      </c>
      <c r="M96" s="10" t="n">
        <v>45000000</v>
      </c>
      <c r="N96" s="10" t="n">
        <v>0</v>
      </c>
      <c r="O96" s="11" t="n">
        <f aca="false">ROUND((M96+N96)*0.18,0)</f>
        <v>8100000</v>
      </c>
      <c r="P96" s="11" t="n">
        <f aca="false">M96+N96+O96</f>
        <v>53100000</v>
      </c>
      <c r="Q96" s="9"/>
      <c r="R96" s="8" t="s">
        <v>303</v>
      </c>
      <c r="S96" s="8" t="s">
        <v>293</v>
      </c>
    </row>
    <row r="97" customFormat="false" ht="15" hidden="false" customHeight="false" outlineLevel="0" collapsed="false">
      <c r="B97" s="8" t="s">
        <v>170</v>
      </c>
      <c r="C97" s="8" t="s">
        <v>297</v>
      </c>
      <c r="D97" s="9" t="s">
        <v>482</v>
      </c>
      <c r="E97" s="8" t="s">
        <v>299</v>
      </c>
      <c r="F97" s="8" t="s">
        <v>304</v>
      </c>
      <c r="G97" s="9" t="s">
        <v>483</v>
      </c>
      <c r="H97" s="21" t="n">
        <v>6</v>
      </c>
      <c r="I97" s="8" t="s">
        <v>288</v>
      </c>
      <c r="J97" s="8" t="s">
        <v>300</v>
      </c>
      <c r="K97" s="21" t="n">
        <v>25</v>
      </c>
      <c r="L97" s="21" t="n">
        <v>30</v>
      </c>
      <c r="M97" s="10" t="n">
        <v>45000000</v>
      </c>
      <c r="N97" s="10" t="n">
        <v>0</v>
      </c>
      <c r="O97" s="11" t="n">
        <f aca="false">ROUND((M97+N97)*0.18,0)</f>
        <v>8100000</v>
      </c>
      <c r="P97" s="11" t="n">
        <f aca="false">M97+N97+O97</f>
        <v>53100000</v>
      </c>
      <c r="Q97" s="9"/>
      <c r="R97" s="8" t="s">
        <v>303</v>
      </c>
      <c r="S97" s="8" t="s">
        <v>293</v>
      </c>
    </row>
    <row r="98" customFormat="false" ht="15" hidden="false" customHeight="false" outlineLevel="0" collapsed="false">
      <c r="B98" s="8" t="s">
        <v>170</v>
      </c>
      <c r="C98" s="8" t="s">
        <v>297</v>
      </c>
      <c r="D98" s="9" t="s">
        <v>482</v>
      </c>
      <c r="E98" s="8" t="s">
        <v>299</v>
      </c>
      <c r="F98" s="8" t="s">
        <v>307</v>
      </c>
      <c r="G98" s="9" t="s">
        <v>484</v>
      </c>
      <c r="H98" s="21" t="n">
        <v>6</v>
      </c>
      <c r="I98" s="8" t="s">
        <v>384</v>
      </c>
      <c r="J98" s="8" t="s">
        <v>304</v>
      </c>
      <c r="K98" s="21" t="n">
        <v>25</v>
      </c>
      <c r="L98" s="21" t="n">
        <v>30</v>
      </c>
      <c r="M98" s="10" t="n">
        <v>45000000</v>
      </c>
      <c r="N98" s="10" t="n">
        <v>0</v>
      </c>
      <c r="O98" s="11" t="n">
        <f aca="false">ROUND((M98+N98)*0.18,0)</f>
        <v>8100000</v>
      </c>
      <c r="P98" s="11" t="n">
        <f aca="false">M98+N98+O98</f>
        <v>53100000</v>
      </c>
      <c r="Q98" s="9"/>
      <c r="R98" s="8" t="s">
        <v>303</v>
      </c>
      <c r="S98" s="8" t="s">
        <v>293</v>
      </c>
    </row>
    <row r="99" customFormat="false" ht="15" hidden="false" customHeight="false" outlineLevel="0" collapsed="false">
      <c r="B99" s="8" t="s">
        <v>170</v>
      </c>
      <c r="C99" s="8" t="s">
        <v>297</v>
      </c>
      <c r="D99" s="9" t="s">
        <v>482</v>
      </c>
      <c r="E99" s="8" t="s">
        <v>299</v>
      </c>
      <c r="F99" s="8" t="s">
        <v>445</v>
      </c>
      <c r="G99" s="9" t="s">
        <v>485</v>
      </c>
      <c r="H99" s="21" t="n">
        <v>4</v>
      </c>
      <c r="I99" s="8" t="s">
        <v>288</v>
      </c>
      <c r="J99" s="8" t="s">
        <v>300</v>
      </c>
      <c r="K99" s="21" t="n">
        <v>25</v>
      </c>
      <c r="L99" s="21" t="n">
        <v>28</v>
      </c>
      <c r="M99" s="10" t="n">
        <v>45000000</v>
      </c>
      <c r="N99" s="10" t="n">
        <v>0</v>
      </c>
      <c r="O99" s="11" t="n">
        <f aca="false">ROUND((M99+N99)*0.18,0)</f>
        <v>8100000</v>
      </c>
      <c r="P99" s="11" t="n">
        <f aca="false">M99+N99+O99</f>
        <v>53100000</v>
      </c>
      <c r="Q99" s="9"/>
      <c r="R99" s="8" t="s">
        <v>303</v>
      </c>
      <c r="S99" s="8" t="s">
        <v>293</v>
      </c>
    </row>
    <row r="100" customFormat="false" ht="15" hidden="false" customHeight="false" outlineLevel="0" collapsed="false">
      <c r="B100" s="8" t="s">
        <v>170</v>
      </c>
      <c r="C100" s="8" t="s">
        <v>297</v>
      </c>
      <c r="D100" s="9" t="s">
        <v>482</v>
      </c>
      <c r="E100" s="8" t="s">
        <v>299</v>
      </c>
      <c r="F100" s="8" t="s">
        <v>486</v>
      </c>
      <c r="G100" s="9" t="s">
        <v>487</v>
      </c>
      <c r="H100" s="21" t="n">
        <v>3</v>
      </c>
      <c r="I100" s="8" t="s">
        <v>288</v>
      </c>
      <c r="J100" s="8" t="s">
        <v>445</v>
      </c>
      <c r="K100" s="21" t="n">
        <v>29</v>
      </c>
      <c r="L100" s="21" t="n">
        <v>31</v>
      </c>
      <c r="M100" s="10" t="n">
        <v>45000000</v>
      </c>
      <c r="N100" s="10" t="n">
        <v>0</v>
      </c>
      <c r="O100" s="11" t="n">
        <f aca="false">ROUND((M100+N100)*0.18,0)</f>
        <v>8100000</v>
      </c>
      <c r="P100" s="11" t="n">
        <f aca="false">M100+N100+O100</f>
        <v>53100000</v>
      </c>
      <c r="Q100" s="9"/>
      <c r="R100" s="8" t="s">
        <v>303</v>
      </c>
      <c r="S100" s="8" t="s">
        <v>293</v>
      </c>
    </row>
    <row r="101" customFormat="false" ht="15" hidden="false" customHeight="false" outlineLevel="0" collapsed="false">
      <c r="B101" s="8" t="s">
        <v>170</v>
      </c>
      <c r="C101" s="8" t="s">
        <v>297</v>
      </c>
      <c r="D101" s="9" t="s">
        <v>482</v>
      </c>
      <c r="E101" s="8" t="s">
        <v>299</v>
      </c>
      <c r="F101" s="8" t="s">
        <v>488</v>
      </c>
      <c r="G101" s="9" t="s">
        <v>489</v>
      </c>
      <c r="H101" s="21" t="n">
        <v>4</v>
      </c>
      <c r="I101" s="8" t="s">
        <v>384</v>
      </c>
      <c r="J101" s="8" t="s">
        <v>304</v>
      </c>
      <c r="K101" s="21" t="n">
        <v>25</v>
      </c>
      <c r="L101" s="21" t="n">
        <v>28</v>
      </c>
      <c r="M101" s="10" t="n">
        <v>45000000</v>
      </c>
      <c r="N101" s="10" t="n">
        <v>0</v>
      </c>
      <c r="O101" s="11" t="n">
        <f aca="false">ROUND((M101+N101)*0.18,0)</f>
        <v>8100000</v>
      </c>
      <c r="P101" s="11" t="n">
        <f aca="false">M101+N101+O101</f>
        <v>53100000</v>
      </c>
      <c r="Q101" s="9"/>
      <c r="R101" s="8" t="s">
        <v>303</v>
      </c>
      <c r="S101" s="8" t="s">
        <v>293</v>
      </c>
    </row>
    <row r="102" customFormat="false" ht="15" hidden="false" customHeight="false" outlineLevel="0" collapsed="false">
      <c r="B102" s="8" t="s">
        <v>170</v>
      </c>
      <c r="C102" s="8" t="s">
        <v>310</v>
      </c>
      <c r="D102" s="9" t="s">
        <v>490</v>
      </c>
      <c r="E102" s="8" t="s">
        <v>299</v>
      </c>
      <c r="F102" s="8" t="s">
        <v>312</v>
      </c>
      <c r="G102" s="9" t="s">
        <v>491</v>
      </c>
      <c r="H102" s="21" t="n">
        <v>4</v>
      </c>
      <c r="I102" s="8" t="s">
        <v>288</v>
      </c>
      <c r="J102" s="8" t="s">
        <v>300</v>
      </c>
      <c r="K102" s="21" t="n">
        <v>25</v>
      </c>
      <c r="L102" s="21" t="n">
        <v>28</v>
      </c>
      <c r="M102" s="10" t="n">
        <v>127500000</v>
      </c>
      <c r="N102" s="10" t="n">
        <v>0</v>
      </c>
      <c r="O102" s="11" t="n">
        <f aca="false">ROUND((M102+N102)*0.18,0)</f>
        <v>22950000</v>
      </c>
      <c r="P102" s="11" t="n">
        <f aca="false">M102+N102+O102</f>
        <v>150450000</v>
      </c>
      <c r="Q102" s="9"/>
      <c r="R102" s="8" t="s">
        <v>303</v>
      </c>
      <c r="S102" s="8" t="s">
        <v>293</v>
      </c>
    </row>
    <row r="103" customFormat="false" ht="15" hidden="false" customHeight="false" outlineLevel="0" collapsed="false">
      <c r="B103" s="8" t="s">
        <v>170</v>
      </c>
      <c r="C103" s="8" t="s">
        <v>310</v>
      </c>
      <c r="D103" s="9" t="s">
        <v>490</v>
      </c>
      <c r="E103" s="8" t="s">
        <v>299</v>
      </c>
      <c r="F103" s="8" t="s">
        <v>315</v>
      </c>
      <c r="G103" s="9" t="s">
        <v>492</v>
      </c>
      <c r="H103" s="21" t="n">
        <v>6</v>
      </c>
      <c r="I103" s="8" t="s">
        <v>288</v>
      </c>
      <c r="J103" s="8" t="s">
        <v>312</v>
      </c>
      <c r="K103" s="21" t="n">
        <v>29</v>
      </c>
      <c r="L103" s="21" t="n">
        <v>34</v>
      </c>
      <c r="M103" s="10" t="n">
        <v>127500000</v>
      </c>
      <c r="N103" s="10" t="n">
        <v>0</v>
      </c>
      <c r="O103" s="11" t="n">
        <f aca="false">ROUND((M103+N103)*0.18,0)</f>
        <v>22950000</v>
      </c>
      <c r="P103" s="11" t="n">
        <f aca="false">M103+N103+O103</f>
        <v>150450000</v>
      </c>
      <c r="Q103" s="9"/>
      <c r="R103" s="8" t="s">
        <v>303</v>
      </c>
      <c r="S103" s="8" t="s">
        <v>293</v>
      </c>
    </row>
    <row r="104" customFormat="false" ht="15" hidden="false" customHeight="false" outlineLevel="0" collapsed="false">
      <c r="B104" s="8" t="s">
        <v>170</v>
      </c>
      <c r="C104" s="8" t="s">
        <v>310</v>
      </c>
      <c r="D104" s="9" t="s">
        <v>490</v>
      </c>
      <c r="E104" s="8" t="s">
        <v>299</v>
      </c>
      <c r="F104" s="8" t="s">
        <v>318</v>
      </c>
      <c r="G104" s="9" t="s">
        <v>493</v>
      </c>
      <c r="H104" s="21" t="n">
        <v>6</v>
      </c>
      <c r="I104" s="8" t="s">
        <v>288</v>
      </c>
      <c r="J104" s="8" t="s">
        <v>315</v>
      </c>
      <c r="K104" s="21" t="n">
        <v>35</v>
      </c>
      <c r="L104" s="21" t="n">
        <v>40</v>
      </c>
      <c r="M104" s="10" t="n">
        <v>127500000</v>
      </c>
      <c r="N104" s="10" t="n">
        <v>0</v>
      </c>
      <c r="O104" s="11" t="n">
        <f aca="false">ROUND((M104+N104)*0.18,0)</f>
        <v>22950000</v>
      </c>
      <c r="P104" s="11" t="n">
        <f aca="false">M104+N104+O104</f>
        <v>150450000</v>
      </c>
      <c r="Q104" s="9"/>
      <c r="R104" s="8" t="s">
        <v>303</v>
      </c>
      <c r="S104" s="8" t="s">
        <v>293</v>
      </c>
    </row>
    <row r="105" customFormat="false" ht="15" hidden="false" customHeight="false" outlineLevel="0" collapsed="false">
      <c r="B105" s="8" t="s">
        <v>170</v>
      </c>
      <c r="C105" s="8" t="s">
        <v>310</v>
      </c>
      <c r="D105" s="9" t="s">
        <v>490</v>
      </c>
      <c r="E105" s="8" t="s">
        <v>299</v>
      </c>
      <c r="F105" s="8" t="s">
        <v>451</v>
      </c>
      <c r="G105" s="9" t="s">
        <v>494</v>
      </c>
      <c r="H105" s="21" t="n">
        <v>10</v>
      </c>
      <c r="I105" s="8" t="s">
        <v>288</v>
      </c>
      <c r="J105" s="8" t="s">
        <v>318</v>
      </c>
      <c r="K105" s="21" t="n">
        <v>41</v>
      </c>
      <c r="L105" s="21" t="n">
        <v>50</v>
      </c>
      <c r="M105" s="10" t="n">
        <v>127500000</v>
      </c>
      <c r="N105" s="10" t="n">
        <v>0</v>
      </c>
      <c r="O105" s="11" t="n">
        <f aca="false">ROUND((M105+N105)*0.18,0)</f>
        <v>22950000</v>
      </c>
      <c r="P105" s="11" t="n">
        <f aca="false">M105+N105+O105</f>
        <v>150450000</v>
      </c>
      <c r="Q105" s="9"/>
      <c r="R105" s="8" t="s">
        <v>303</v>
      </c>
      <c r="S105" s="8" t="s">
        <v>293</v>
      </c>
    </row>
    <row r="106" customFormat="false" ht="15" hidden="false" customHeight="false" outlineLevel="0" collapsed="false">
      <c r="B106" s="8" t="s">
        <v>170</v>
      </c>
      <c r="C106" s="8" t="s">
        <v>320</v>
      </c>
      <c r="D106" s="9" t="s">
        <v>495</v>
      </c>
      <c r="E106" s="8" t="s">
        <v>454</v>
      </c>
      <c r="F106" s="8" t="s">
        <v>323</v>
      </c>
      <c r="G106" s="9" t="s">
        <v>455</v>
      </c>
      <c r="H106" s="21" t="n">
        <v>5</v>
      </c>
      <c r="I106" s="8" t="s">
        <v>288</v>
      </c>
      <c r="J106" s="8" t="s">
        <v>315</v>
      </c>
      <c r="K106" s="21" t="n">
        <v>35</v>
      </c>
      <c r="L106" s="21" t="n">
        <v>39</v>
      </c>
      <c r="M106" s="10" t="n">
        <v>24000000</v>
      </c>
      <c r="N106" s="10" t="n">
        <v>4050000</v>
      </c>
      <c r="O106" s="11" t="n">
        <f aca="false">ROUND((M106+N106)*0.18,0)</f>
        <v>5049000</v>
      </c>
      <c r="P106" s="11" t="n">
        <f aca="false">M106+N106+O106</f>
        <v>33099000</v>
      </c>
      <c r="Q106" s="9"/>
      <c r="R106" s="8" t="s">
        <v>303</v>
      </c>
      <c r="S106" s="8" t="s">
        <v>293</v>
      </c>
    </row>
    <row r="107" customFormat="false" ht="15" hidden="false" customHeight="false" outlineLevel="0" collapsed="false">
      <c r="B107" s="8" t="s">
        <v>170</v>
      </c>
      <c r="C107" s="8" t="s">
        <v>320</v>
      </c>
      <c r="D107" s="9" t="s">
        <v>495</v>
      </c>
      <c r="E107" s="8" t="s">
        <v>454</v>
      </c>
      <c r="F107" s="8" t="s">
        <v>326</v>
      </c>
      <c r="G107" s="9" t="s">
        <v>456</v>
      </c>
      <c r="H107" s="21" t="n">
        <v>2</v>
      </c>
      <c r="I107" s="8" t="s">
        <v>288</v>
      </c>
      <c r="J107" s="8" t="s">
        <v>323</v>
      </c>
      <c r="K107" s="21" t="n">
        <v>40</v>
      </c>
      <c r="L107" s="21" t="n">
        <v>41</v>
      </c>
      <c r="M107" s="10" t="n">
        <v>24000000</v>
      </c>
      <c r="N107" s="10" t="n">
        <v>4050000</v>
      </c>
      <c r="O107" s="11" t="n">
        <f aca="false">ROUND((M107+N107)*0.18,0)</f>
        <v>5049000</v>
      </c>
      <c r="P107" s="11" t="n">
        <f aca="false">M107+N107+O107</f>
        <v>33099000</v>
      </c>
      <c r="Q107" s="9"/>
      <c r="R107" s="8" t="s">
        <v>303</v>
      </c>
      <c r="S107" s="8" t="s">
        <v>293</v>
      </c>
    </row>
    <row r="108" customFormat="false" ht="15" hidden="false" customHeight="false" outlineLevel="0" collapsed="false">
      <c r="B108" s="8" t="s">
        <v>170</v>
      </c>
      <c r="C108" s="8" t="s">
        <v>320</v>
      </c>
      <c r="D108" s="9" t="s">
        <v>495</v>
      </c>
      <c r="E108" s="8" t="s">
        <v>454</v>
      </c>
      <c r="F108" s="8" t="s">
        <v>329</v>
      </c>
      <c r="G108" s="9" t="s">
        <v>400</v>
      </c>
      <c r="H108" s="21" t="n">
        <v>3</v>
      </c>
      <c r="I108" s="8" t="s">
        <v>384</v>
      </c>
      <c r="J108" s="8" t="s">
        <v>326</v>
      </c>
      <c r="K108" s="21" t="n">
        <v>40</v>
      </c>
      <c r="L108" s="21" t="n">
        <v>42</v>
      </c>
      <c r="M108" s="10" t="n">
        <v>24000000</v>
      </c>
      <c r="N108" s="10" t="n">
        <v>4050000</v>
      </c>
      <c r="O108" s="11" t="n">
        <f aca="false">ROUND((M108+N108)*0.18,0)</f>
        <v>5049000</v>
      </c>
      <c r="P108" s="11" t="n">
        <f aca="false">M108+N108+O108</f>
        <v>33099000</v>
      </c>
      <c r="Q108" s="9"/>
      <c r="R108" s="8" t="s">
        <v>303</v>
      </c>
      <c r="S108" s="8" t="s">
        <v>293</v>
      </c>
    </row>
    <row r="109" customFormat="false" ht="15" hidden="false" customHeight="false" outlineLevel="0" collapsed="false">
      <c r="B109" s="8" t="s">
        <v>170</v>
      </c>
      <c r="C109" s="8" t="s">
        <v>320</v>
      </c>
      <c r="D109" s="9" t="s">
        <v>495</v>
      </c>
      <c r="E109" s="8" t="s">
        <v>454</v>
      </c>
      <c r="F109" s="8" t="s">
        <v>332</v>
      </c>
      <c r="G109" s="9" t="s">
        <v>457</v>
      </c>
      <c r="H109" s="21" t="n">
        <v>3</v>
      </c>
      <c r="I109" s="8" t="s">
        <v>288</v>
      </c>
      <c r="J109" s="8" t="s">
        <v>326</v>
      </c>
      <c r="K109" s="21" t="n">
        <v>42</v>
      </c>
      <c r="L109" s="21" t="n">
        <v>44</v>
      </c>
      <c r="M109" s="10" t="n">
        <v>24000000</v>
      </c>
      <c r="N109" s="10" t="n">
        <v>4050000</v>
      </c>
      <c r="O109" s="11" t="n">
        <f aca="false">ROUND((M109+N109)*0.18,0)</f>
        <v>5049000</v>
      </c>
      <c r="P109" s="11" t="n">
        <f aca="false">M109+N109+O109</f>
        <v>33099000</v>
      </c>
      <c r="Q109" s="9"/>
      <c r="R109" s="8" t="s">
        <v>303</v>
      </c>
      <c r="S109" s="8" t="s">
        <v>293</v>
      </c>
    </row>
    <row r="110" customFormat="false" ht="15" hidden="false" customHeight="false" outlineLevel="0" collapsed="false">
      <c r="B110" s="8" t="s">
        <v>170</v>
      </c>
      <c r="C110" s="8" t="s">
        <v>320</v>
      </c>
      <c r="D110" s="9" t="s">
        <v>495</v>
      </c>
      <c r="E110" s="8" t="s">
        <v>454</v>
      </c>
      <c r="F110" s="8" t="s">
        <v>458</v>
      </c>
      <c r="G110" s="9" t="s">
        <v>496</v>
      </c>
      <c r="H110" s="21" t="n">
        <v>2</v>
      </c>
      <c r="I110" s="8" t="s">
        <v>288</v>
      </c>
      <c r="J110" s="8" t="s">
        <v>332</v>
      </c>
      <c r="K110" s="21" t="n">
        <v>45</v>
      </c>
      <c r="L110" s="21" t="n">
        <v>46</v>
      </c>
      <c r="M110" s="10" t="n">
        <v>24000000</v>
      </c>
      <c r="N110" s="10" t="n">
        <v>4050000</v>
      </c>
      <c r="O110" s="11" t="n">
        <f aca="false">ROUND((M110+N110)*0.18,0)</f>
        <v>5049000</v>
      </c>
      <c r="P110" s="11" t="n">
        <f aca="false">M110+N110+O110</f>
        <v>33099000</v>
      </c>
      <c r="Q110" s="9"/>
      <c r="R110" s="8" t="s">
        <v>303</v>
      </c>
      <c r="S110" s="8" t="s">
        <v>293</v>
      </c>
    </row>
    <row r="111" customFormat="false" ht="15" hidden="false" customHeight="false" outlineLevel="0" collapsed="false">
      <c r="B111" s="8" t="s">
        <v>170</v>
      </c>
      <c r="C111" s="8" t="s">
        <v>335</v>
      </c>
      <c r="D111" s="9" t="s">
        <v>497</v>
      </c>
      <c r="E111" s="8" t="s">
        <v>454</v>
      </c>
      <c r="F111" s="8" t="s">
        <v>337</v>
      </c>
      <c r="G111" s="9" t="s">
        <v>455</v>
      </c>
      <c r="H111" s="21" t="n">
        <v>7</v>
      </c>
      <c r="I111" s="8" t="s">
        <v>288</v>
      </c>
      <c r="J111" s="8" t="s">
        <v>451</v>
      </c>
      <c r="K111" s="21" t="n">
        <v>51</v>
      </c>
      <c r="L111" s="21" t="n">
        <v>57</v>
      </c>
      <c r="M111" s="10" t="n">
        <v>55000000</v>
      </c>
      <c r="N111" s="10" t="n">
        <v>9125000</v>
      </c>
      <c r="O111" s="11" t="n">
        <f aca="false">ROUND((M111+N111)*0.18,0)</f>
        <v>11542500</v>
      </c>
      <c r="P111" s="11" t="n">
        <f aca="false">M111+N111+O111</f>
        <v>75667500</v>
      </c>
      <c r="Q111" s="9"/>
      <c r="R111" s="8" t="s">
        <v>303</v>
      </c>
      <c r="S111" s="8" t="s">
        <v>293</v>
      </c>
    </row>
    <row r="112" customFormat="false" ht="15" hidden="false" customHeight="false" outlineLevel="0" collapsed="false">
      <c r="B112" s="8" t="s">
        <v>170</v>
      </c>
      <c r="C112" s="8" t="s">
        <v>335</v>
      </c>
      <c r="D112" s="9" t="s">
        <v>497</v>
      </c>
      <c r="E112" s="8" t="s">
        <v>454</v>
      </c>
      <c r="F112" s="8" t="s">
        <v>340</v>
      </c>
      <c r="G112" s="9" t="s">
        <v>400</v>
      </c>
      <c r="H112" s="21" t="n">
        <v>4</v>
      </c>
      <c r="I112" s="8" t="s">
        <v>288</v>
      </c>
      <c r="J112" s="8" t="s">
        <v>337</v>
      </c>
      <c r="K112" s="21" t="n">
        <v>58</v>
      </c>
      <c r="L112" s="21" t="n">
        <v>61</v>
      </c>
      <c r="M112" s="10" t="n">
        <v>55000000</v>
      </c>
      <c r="N112" s="10" t="n">
        <v>9125000</v>
      </c>
      <c r="O112" s="11" t="n">
        <f aca="false">ROUND((M112+N112)*0.18,0)</f>
        <v>11542500</v>
      </c>
      <c r="P112" s="11" t="n">
        <f aca="false">M112+N112+O112</f>
        <v>75667500</v>
      </c>
      <c r="Q112" s="9"/>
      <c r="R112" s="8" t="s">
        <v>303</v>
      </c>
      <c r="S112" s="8" t="s">
        <v>293</v>
      </c>
    </row>
    <row r="113" customFormat="false" ht="15" hidden="false" customHeight="false" outlineLevel="0" collapsed="false">
      <c r="B113" s="8" t="s">
        <v>170</v>
      </c>
      <c r="C113" s="8" t="s">
        <v>335</v>
      </c>
      <c r="D113" s="9" t="s">
        <v>497</v>
      </c>
      <c r="E113" s="8" t="s">
        <v>454</v>
      </c>
      <c r="F113" s="8" t="s">
        <v>341</v>
      </c>
      <c r="G113" s="9" t="s">
        <v>457</v>
      </c>
      <c r="H113" s="21" t="n">
        <v>4</v>
      </c>
      <c r="I113" s="8" t="s">
        <v>384</v>
      </c>
      <c r="J113" s="8" t="s">
        <v>340</v>
      </c>
      <c r="K113" s="21" t="n">
        <v>58</v>
      </c>
      <c r="L113" s="21" t="n">
        <v>61</v>
      </c>
      <c r="M113" s="10" t="n">
        <v>55000000</v>
      </c>
      <c r="N113" s="10" t="n">
        <v>9125000</v>
      </c>
      <c r="O113" s="11" t="n">
        <f aca="false">ROUND((M113+N113)*0.18,0)</f>
        <v>11542500</v>
      </c>
      <c r="P113" s="11" t="n">
        <f aca="false">M113+N113+O113</f>
        <v>75667500</v>
      </c>
      <c r="Q113" s="9"/>
      <c r="R113" s="8" t="s">
        <v>303</v>
      </c>
      <c r="S113" s="8" t="s">
        <v>293</v>
      </c>
    </row>
    <row r="114" customFormat="false" ht="15" hidden="false" customHeight="false" outlineLevel="0" collapsed="false">
      <c r="B114" s="8" t="s">
        <v>170</v>
      </c>
      <c r="C114" s="8" t="s">
        <v>335</v>
      </c>
      <c r="D114" s="9" t="s">
        <v>497</v>
      </c>
      <c r="E114" s="8" t="s">
        <v>454</v>
      </c>
      <c r="F114" s="8" t="s">
        <v>461</v>
      </c>
      <c r="G114" s="9" t="s">
        <v>462</v>
      </c>
      <c r="H114" s="21" t="n">
        <v>5</v>
      </c>
      <c r="I114" s="8" t="s">
        <v>288</v>
      </c>
      <c r="J114" s="8" t="s">
        <v>340</v>
      </c>
      <c r="K114" s="21" t="n">
        <v>62</v>
      </c>
      <c r="L114" s="21" t="n">
        <v>66</v>
      </c>
      <c r="M114" s="10" t="n">
        <v>55000000</v>
      </c>
      <c r="N114" s="10" t="n">
        <v>9125000</v>
      </c>
      <c r="O114" s="11" t="n">
        <f aca="false">ROUND((M114+N114)*0.18,0)</f>
        <v>11542500</v>
      </c>
      <c r="P114" s="11" t="n">
        <f aca="false">M114+N114+O114</f>
        <v>75667500</v>
      </c>
      <c r="Q114" s="9"/>
      <c r="R114" s="8" t="s">
        <v>303</v>
      </c>
      <c r="S114" s="8" t="s">
        <v>293</v>
      </c>
    </row>
    <row r="115" customFormat="false" ht="15" hidden="false" customHeight="false" outlineLevel="0" collapsed="false">
      <c r="B115" s="8" t="s">
        <v>170</v>
      </c>
      <c r="C115" s="8" t="s">
        <v>335</v>
      </c>
      <c r="D115" s="9" t="s">
        <v>497</v>
      </c>
      <c r="E115" s="8" t="s">
        <v>454</v>
      </c>
      <c r="F115" s="8" t="s">
        <v>463</v>
      </c>
      <c r="G115" s="9" t="s">
        <v>464</v>
      </c>
      <c r="H115" s="21" t="n">
        <v>4</v>
      </c>
      <c r="I115" s="8" t="s">
        <v>288</v>
      </c>
      <c r="J115" s="8" t="s">
        <v>461</v>
      </c>
      <c r="K115" s="21" t="n">
        <v>67</v>
      </c>
      <c r="L115" s="21" t="n">
        <v>70</v>
      </c>
      <c r="M115" s="10" t="n">
        <v>55000000</v>
      </c>
      <c r="N115" s="10" t="n">
        <v>9125000</v>
      </c>
      <c r="O115" s="11" t="n">
        <f aca="false">ROUND((M115+N115)*0.18,0)</f>
        <v>11542500</v>
      </c>
      <c r="P115" s="11" t="n">
        <f aca="false">M115+N115+O115</f>
        <v>75667500</v>
      </c>
      <c r="Q115" s="9"/>
      <c r="R115" s="8" t="s">
        <v>303</v>
      </c>
      <c r="S115" s="8" t="s">
        <v>293</v>
      </c>
    </row>
    <row r="116" customFormat="false" ht="15" hidden="false" customHeight="false" outlineLevel="0" collapsed="false">
      <c r="B116" s="8" t="s">
        <v>170</v>
      </c>
      <c r="C116" s="8" t="s">
        <v>335</v>
      </c>
      <c r="D116" s="9" t="s">
        <v>497</v>
      </c>
      <c r="E116" s="8" t="s">
        <v>454</v>
      </c>
      <c r="F116" s="8" t="s">
        <v>465</v>
      </c>
      <c r="G116" s="9" t="s">
        <v>498</v>
      </c>
      <c r="H116" s="21" t="n">
        <v>3</v>
      </c>
      <c r="I116" s="8" t="s">
        <v>288</v>
      </c>
      <c r="J116" s="8" t="s">
        <v>463</v>
      </c>
      <c r="K116" s="21" t="n">
        <v>71</v>
      </c>
      <c r="L116" s="21" t="n">
        <v>73</v>
      </c>
      <c r="M116" s="10" t="n">
        <v>55000000</v>
      </c>
      <c r="N116" s="10" t="n">
        <v>9125000</v>
      </c>
      <c r="O116" s="11" t="n">
        <f aca="false">ROUND((M116+N116)*0.18,0)</f>
        <v>11542500</v>
      </c>
      <c r="P116" s="11" t="n">
        <f aca="false">M116+N116+O116</f>
        <v>75667500</v>
      </c>
      <c r="Q116" s="9"/>
      <c r="R116" s="8" t="s">
        <v>303</v>
      </c>
      <c r="S116" s="8" t="s">
        <v>293</v>
      </c>
    </row>
    <row r="117" customFormat="false" ht="15" hidden="false" customHeight="false" outlineLevel="0" collapsed="false">
      <c r="B117" s="8" t="s">
        <v>170</v>
      </c>
      <c r="C117" s="8" t="s">
        <v>343</v>
      </c>
      <c r="D117" s="9" t="s">
        <v>467</v>
      </c>
      <c r="E117" s="8" t="s">
        <v>361</v>
      </c>
      <c r="F117" s="8" t="s">
        <v>346</v>
      </c>
      <c r="G117" s="9" t="s">
        <v>468</v>
      </c>
      <c r="H117" s="21" t="n">
        <v>4</v>
      </c>
      <c r="I117" s="8" t="s">
        <v>288</v>
      </c>
      <c r="J117" s="8" t="s">
        <v>486</v>
      </c>
      <c r="K117" s="21" t="n">
        <v>32</v>
      </c>
      <c r="L117" s="21" t="n">
        <v>35</v>
      </c>
      <c r="M117" s="10" t="n">
        <v>24000000</v>
      </c>
      <c r="N117" s="10" t="n">
        <v>0</v>
      </c>
      <c r="O117" s="11" t="n">
        <f aca="false">ROUND((M117+N117)*0.18,0)</f>
        <v>4320000</v>
      </c>
      <c r="P117" s="11" t="n">
        <f aca="false">M117+N117+O117</f>
        <v>28320000</v>
      </c>
      <c r="Q117" s="9"/>
      <c r="R117" s="8" t="s">
        <v>303</v>
      </c>
      <c r="S117" s="8" t="s">
        <v>293</v>
      </c>
    </row>
    <row r="118" customFormat="false" ht="15" hidden="false" customHeight="false" outlineLevel="0" collapsed="false">
      <c r="B118" s="8" t="s">
        <v>170</v>
      </c>
      <c r="C118" s="8" t="s">
        <v>343</v>
      </c>
      <c r="D118" s="9" t="s">
        <v>467</v>
      </c>
      <c r="E118" s="8" t="s">
        <v>361</v>
      </c>
      <c r="F118" s="8" t="s">
        <v>348</v>
      </c>
      <c r="G118" s="9" t="s">
        <v>469</v>
      </c>
      <c r="H118" s="21" t="n">
        <v>4</v>
      </c>
      <c r="I118" s="8" t="s">
        <v>288</v>
      </c>
      <c r="J118" s="8" t="s">
        <v>486</v>
      </c>
      <c r="K118" s="21" t="n">
        <v>32</v>
      </c>
      <c r="L118" s="21" t="n">
        <v>35</v>
      </c>
      <c r="M118" s="10" t="n">
        <v>24000000</v>
      </c>
      <c r="N118" s="10" t="n">
        <v>0</v>
      </c>
      <c r="O118" s="11" t="n">
        <f aca="false">ROUND((M118+N118)*0.18,0)</f>
        <v>4320000</v>
      </c>
      <c r="P118" s="11" t="n">
        <f aca="false">M118+N118+O118</f>
        <v>28320000</v>
      </c>
      <c r="Q118" s="9"/>
      <c r="R118" s="8" t="s">
        <v>303</v>
      </c>
      <c r="S118" s="8" t="s">
        <v>293</v>
      </c>
    </row>
    <row r="119" customFormat="false" ht="15" hidden="false" customHeight="false" outlineLevel="0" collapsed="false">
      <c r="B119" s="8" t="s">
        <v>170</v>
      </c>
      <c r="C119" s="8" t="s">
        <v>343</v>
      </c>
      <c r="D119" s="9" t="s">
        <v>467</v>
      </c>
      <c r="E119" s="8" t="s">
        <v>361</v>
      </c>
      <c r="F119" s="8" t="s">
        <v>403</v>
      </c>
      <c r="G119" s="9" t="s">
        <v>499</v>
      </c>
      <c r="H119" s="21" t="n">
        <v>4</v>
      </c>
      <c r="I119" s="8" t="s">
        <v>384</v>
      </c>
      <c r="J119" s="8" t="s">
        <v>348</v>
      </c>
      <c r="K119" s="21" t="n">
        <v>32</v>
      </c>
      <c r="L119" s="21" t="n">
        <v>35</v>
      </c>
      <c r="M119" s="10" t="n">
        <v>24000000</v>
      </c>
      <c r="N119" s="10" t="n">
        <v>0</v>
      </c>
      <c r="O119" s="11" t="n">
        <f aca="false">ROUND((M119+N119)*0.18,0)</f>
        <v>4320000</v>
      </c>
      <c r="P119" s="11" t="n">
        <f aca="false">M119+N119+O119</f>
        <v>28320000</v>
      </c>
      <c r="Q119" s="9"/>
      <c r="R119" s="8" t="s">
        <v>303</v>
      </c>
      <c r="S119" s="8" t="s">
        <v>293</v>
      </c>
    </row>
    <row r="120" customFormat="false" ht="15" hidden="false" customHeight="false" outlineLevel="0" collapsed="false">
      <c r="B120" s="8" t="s">
        <v>170</v>
      </c>
      <c r="C120" s="8" t="s">
        <v>343</v>
      </c>
      <c r="D120" s="9" t="s">
        <v>467</v>
      </c>
      <c r="E120" s="8" t="s">
        <v>361</v>
      </c>
      <c r="F120" s="8" t="s">
        <v>471</v>
      </c>
      <c r="G120" s="9" t="s">
        <v>470</v>
      </c>
      <c r="H120" s="21" t="n">
        <v>3</v>
      </c>
      <c r="I120" s="8" t="s">
        <v>384</v>
      </c>
      <c r="J120" s="8" t="s">
        <v>346</v>
      </c>
      <c r="K120" s="21" t="n">
        <v>32</v>
      </c>
      <c r="L120" s="21" t="n">
        <v>34</v>
      </c>
      <c r="M120" s="10" t="n">
        <v>24000000</v>
      </c>
      <c r="N120" s="10" t="n">
        <v>0</v>
      </c>
      <c r="O120" s="11" t="n">
        <f aca="false">ROUND((M120+N120)*0.18,0)</f>
        <v>4320000</v>
      </c>
      <c r="P120" s="11" t="n">
        <f aca="false">M120+N120+O120</f>
        <v>28320000</v>
      </c>
      <c r="Q120" s="9"/>
      <c r="R120" s="8" t="s">
        <v>303</v>
      </c>
      <c r="S120" s="8" t="s">
        <v>293</v>
      </c>
    </row>
    <row r="121" customFormat="false" ht="15" hidden="false" customHeight="false" outlineLevel="0" collapsed="false">
      <c r="B121" s="8" t="s">
        <v>170</v>
      </c>
      <c r="C121" s="8" t="s">
        <v>343</v>
      </c>
      <c r="D121" s="9" t="s">
        <v>467</v>
      </c>
      <c r="E121" s="8" t="s">
        <v>361</v>
      </c>
      <c r="F121" s="8" t="s">
        <v>500</v>
      </c>
      <c r="G121" s="9" t="s">
        <v>501</v>
      </c>
      <c r="H121" s="21" t="n">
        <v>2</v>
      </c>
      <c r="I121" s="8" t="s">
        <v>288</v>
      </c>
      <c r="J121" s="8" t="s">
        <v>346</v>
      </c>
      <c r="K121" s="21" t="n">
        <v>36</v>
      </c>
      <c r="L121" s="21" t="n">
        <v>37</v>
      </c>
      <c r="M121" s="10" t="n">
        <v>24000000</v>
      </c>
      <c r="N121" s="10" t="n">
        <v>0</v>
      </c>
      <c r="O121" s="11" t="n">
        <f aca="false">ROUND((M121+N121)*0.18,0)</f>
        <v>4320000</v>
      </c>
      <c r="P121" s="11" t="n">
        <f aca="false">M121+N121+O121</f>
        <v>28320000</v>
      </c>
      <c r="Q121" s="9"/>
      <c r="R121" s="8" t="s">
        <v>303</v>
      </c>
      <c r="S121" s="8" t="s">
        <v>293</v>
      </c>
    </row>
    <row r="122" customFormat="false" ht="15" hidden="false" customHeight="false" outlineLevel="0" collapsed="false">
      <c r="B122" s="8" t="s">
        <v>170</v>
      </c>
      <c r="C122" s="8" t="s">
        <v>351</v>
      </c>
      <c r="D122" s="9" t="s">
        <v>473</v>
      </c>
      <c r="E122" s="8" t="s">
        <v>361</v>
      </c>
      <c r="F122" s="8" t="s">
        <v>353</v>
      </c>
      <c r="G122" s="9" t="s">
        <v>474</v>
      </c>
      <c r="H122" s="21" t="n">
        <v>3</v>
      </c>
      <c r="I122" s="8" t="s">
        <v>288</v>
      </c>
      <c r="J122" s="8" t="s">
        <v>465</v>
      </c>
      <c r="K122" s="21" t="n">
        <v>74</v>
      </c>
      <c r="L122" s="21" t="n">
        <v>76</v>
      </c>
      <c r="M122" s="10" t="n">
        <v>15000000</v>
      </c>
      <c r="N122" s="10" t="n">
        <v>0</v>
      </c>
      <c r="O122" s="11" t="n">
        <f aca="false">ROUND((M122+N122)*0.18,0)</f>
        <v>2700000</v>
      </c>
      <c r="P122" s="11" t="n">
        <f aca="false">M122+N122+O122</f>
        <v>17700000</v>
      </c>
      <c r="Q122" s="9"/>
      <c r="R122" s="8" t="s">
        <v>303</v>
      </c>
      <c r="S122" s="8" t="s">
        <v>293</v>
      </c>
    </row>
    <row r="123" customFormat="false" ht="15" hidden="false" customHeight="false" outlineLevel="0" collapsed="false">
      <c r="B123" s="8" t="s">
        <v>170</v>
      </c>
      <c r="C123" s="8" t="s">
        <v>351</v>
      </c>
      <c r="D123" s="9" t="s">
        <v>473</v>
      </c>
      <c r="E123" s="8" t="s">
        <v>361</v>
      </c>
      <c r="F123" s="8" t="s">
        <v>356</v>
      </c>
      <c r="G123" s="9" t="s">
        <v>502</v>
      </c>
      <c r="H123" s="21" t="n">
        <v>4</v>
      </c>
      <c r="I123" s="8" t="s">
        <v>288</v>
      </c>
      <c r="J123" s="8" t="s">
        <v>353</v>
      </c>
      <c r="K123" s="21" t="n">
        <v>77</v>
      </c>
      <c r="L123" s="21" t="n">
        <v>80</v>
      </c>
      <c r="M123" s="10" t="n">
        <v>15000000</v>
      </c>
      <c r="N123" s="10" t="n">
        <v>0</v>
      </c>
      <c r="O123" s="11" t="n">
        <f aca="false">ROUND((M123+N123)*0.18,0)</f>
        <v>2700000</v>
      </c>
      <c r="P123" s="11" t="n">
        <f aca="false">M123+N123+O123</f>
        <v>17700000</v>
      </c>
      <c r="Q123" s="9"/>
      <c r="R123" s="8" t="s">
        <v>303</v>
      </c>
      <c r="S123" s="8" t="s">
        <v>293</v>
      </c>
    </row>
    <row r="124" customFormat="false" ht="15" hidden="false" customHeight="false" outlineLevel="0" collapsed="false">
      <c r="B124" s="8" t="s">
        <v>170</v>
      </c>
      <c r="C124" s="8" t="s">
        <v>351</v>
      </c>
      <c r="D124" s="9" t="s">
        <v>473</v>
      </c>
      <c r="E124" s="8" t="s">
        <v>361</v>
      </c>
      <c r="F124" s="8" t="s">
        <v>408</v>
      </c>
      <c r="G124" s="9" t="s">
        <v>476</v>
      </c>
      <c r="H124" s="21" t="n">
        <v>3</v>
      </c>
      <c r="I124" s="8" t="s">
        <v>288</v>
      </c>
      <c r="J124" s="8" t="s">
        <v>356</v>
      </c>
      <c r="K124" s="21" t="n">
        <v>81</v>
      </c>
      <c r="L124" s="21" t="n">
        <v>83</v>
      </c>
      <c r="M124" s="10" t="n">
        <v>15000000</v>
      </c>
      <c r="N124" s="10" t="n">
        <v>0</v>
      </c>
      <c r="O124" s="11" t="n">
        <f aca="false">ROUND((M124+N124)*0.18,0)</f>
        <v>2700000</v>
      </c>
      <c r="P124" s="11" t="n">
        <f aca="false">M124+N124+O124</f>
        <v>17700000</v>
      </c>
      <c r="Q124" s="9"/>
      <c r="R124" s="8" t="s">
        <v>303</v>
      </c>
      <c r="S124" s="8" t="s">
        <v>293</v>
      </c>
    </row>
    <row r="125" customFormat="false" ht="15" hidden="false" customHeight="false" outlineLevel="0" collapsed="false">
      <c r="B125" s="8" t="s">
        <v>170</v>
      </c>
      <c r="C125" s="8" t="s">
        <v>351</v>
      </c>
      <c r="D125" s="9" t="s">
        <v>473</v>
      </c>
      <c r="E125" s="8" t="s">
        <v>361</v>
      </c>
      <c r="F125" s="8" t="s">
        <v>410</v>
      </c>
      <c r="G125" s="9" t="s">
        <v>477</v>
      </c>
      <c r="H125" s="21" t="n">
        <v>2</v>
      </c>
      <c r="I125" s="8" t="s">
        <v>288</v>
      </c>
      <c r="J125" s="8" t="s">
        <v>408</v>
      </c>
      <c r="K125" s="21" t="n">
        <v>84</v>
      </c>
      <c r="L125" s="21" t="n">
        <v>85</v>
      </c>
      <c r="M125" s="10" t="n">
        <v>15000000</v>
      </c>
      <c r="N125" s="10" t="n">
        <v>0</v>
      </c>
      <c r="O125" s="11" t="n">
        <f aca="false">ROUND((M125+N125)*0.18,0)</f>
        <v>2700000</v>
      </c>
      <c r="P125" s="11" t="n">
        <f aca="false">M125+N125+O125</f>
        <v>17700000</v>
      </c>
      <c r="Q125" s="9"/>
      <c r="R125" s="8" t="s">
        <v>303</v>
      </c>
      <c r="S125" s="8" t="s">
        <v>293</v>
      </c>
    </row>
    <row r="126" customFormat="false" ht="15" hidden="false" customHeight="false" outlineLevel="0" collapsed="false">
      <c r="B126" s="8" t="s">
        <v>175</v>
      </c>
      <c r="C126" s="8" t="s">
        <v>279</v>
      </c>
      <c r="D126" s="9" t="s">
        <v>478</v>
      </c>
      <c r="E126" s="8" t="s">
        <v>81</v>
      </c>
      <c r="F126" s="8" t="s">
        <v>281</v>
      </c>
      <c r="G126" s="9" t="s">
        <v>479</v>
      </c>
      <c r="H126" s="21" t="n">
        <v>5</v>
      </c>
      <c r="I126" s="8"/>
      <c r="J126" s="8"/>
      <c r="K126" s="21" t="n">
        <v>1</v>
      </c>
      <c r="L126" s="21" t="n">
        <v>5</v>
      </c>
      <c r="M126" s="10" t="n">
        <v>14952000</v>
      </c>
      <c r="N126" s="10" t="n">
        <v>0</v>
      </c>
      <c r="O126" s="11" t="n">
        <f aca="false">ROUND((M126+N126)*0.18,0)</f>
        <v>2691360</v>
      </c>
      <c r="P126" s="11" t="n">
        <f aca="false">M126+N126+O126</f>
        <v>17643360</v>
      </c>
      <c r="Q126" s="9"/>
      <c r="R126" s="8" t="s">
        <v>303</v>
      </c>
      <c r="S126" s="8" t="s">
        <v>293</v>
      </c>
    </row>
    <row r="127" customFormat="false" ht="15" hidden="false" customHeight="false" outlineLevel="0" collapsed="false">
      <c r="B127" s="8" t="s">
        <v>175</v>
      </c>
      <c r="C127" s="8" t="s">
        <v>279</v>
      </c>
      <c r="D127" s="9" t="s">
        <v>478</v>
      </c>
      <c r="E127" s="8" t="s">
        <v>81</v>
      </c>
      <c r="F127" s="8" t="s">
        <v>286</v>
      </c>
      <c r="G127" s="9" t="s">
        <v>480</v>
      </c>
      <c r="H127" s="21" t="n">
        <v>8</v>
      </c>
      <c r="I127" s="8" t="s">
        <v>288</v>
      </c>
      <c r="J127" s="8" t="s">
        <v>281</v>
      </c>
      <c r="K127" s="21" t="n">
        <v>6</v>
      </c>
      <c r="L127" s="21" t="n">
        <v>13</v>
      </c>
      <c r="M127" s="10" t="n">
        <v>14952000</v>
      </c>
      <c r="N127" s="10" t="n">
        <v>0</v>
      </c>
      <c r="O127" s="11" t="n">
        <f aca="false">ROUND((M127+N127)*0.18,0)</f>
        <v>2691360</v>
      </c>
      <c r="P127" s="11" t="n">
        <f aca="false">M127+N127+O127</f>
        <v>17643360</v>
      </c>
      <c r="Q127" s="9"/>
      <c r="R127" s="8" t="s">
        <v>303</v>
      </c>
      <c r="S127" s="8" t="s">
        <v>293</v>
      </c>
    </row>
    <row r="128" customFormat="false" ht="15" hidden="false" customHeight="false" outlineLevel="0" collapsed="false">
      <c r="B128" s="8" t="s">
        <v>175</v>
      </c>
      <c r="C128" s="8" t="s">
        <v>279</v>
      </c>
      <c r="D128" s="9" t="s">
        <v>478</v>
      </c>
      <c r="E128" s="8" t="s">
        <v>81</v>
      </c>
      <c r="F128" s="8" t="s">
        <v>290</v>
      </c>
      <c r="G128" s="9" t="s">
        <v>481</v>
      </c>
      <c r="H128" s="21" t="n">
        <v>4</v>
      </c>
      <c r="I128" s="8" t="s">
        <v>288</v>
      </c>
      <c r="J128" s="8" t="s">
        <v>281</v>
      </c>
      <c r="K128" s="21" t="n">
        <v>6</v>
      </c>
      <c r="L128" s="21" t="n">
        <v>9</v>
      </c>
      <c r="M128" s="10" t="n">
        <v>14952000</v>
      </c>
      <c r="N128" s="10" t="n">
        <v>0</v>
      </c>
      <c r="O128" s="11" t="n">
        <f aca="false">ROUND((M128+N128)*0.18,0)</f>
        <v>2691360</v>
      </c>
      <c r="P128" s="11" t="n">
        <f aca="false">M128+N128+O128</f>
        <v>17643360</v>
      </c>
      <c r="Q128" s="9"/>
      <c r="R128" s="8" t="s">
        <v>303</v>
      </c>
      <c r="S128" s="8" t="s">
        <v>293</v>
      </c>
    </row>
    <row r="129" customFormat="false" ht="15" hidden="false" customHeight="false" outlineLevel="0" collapsed="false">
      <c r="B129" s="8" t="s">
        <v>175</v>
      </c>
      <c r="C129" s="8" t="s">
        <v>279</v>
      </c>
      <c r="D129" s="9" t="s">
        <v>478</v>
      </c>
      <c r="E129" s="8" t="s">
        <v>81</v>
      </c>
      <c r="F129" s="8" t="s">
        <v>294</v>
      </c>
      <c r="G129" s="9" t="s">
        <v>439</v>
      </c>
      <c r="H129" s="21" t="n">
        <v>8</v>
      </c>
      <c r="I129" s="8" t="s">
        <v>288</v>
      </c>
      <c r="J129" s="8" t="s">
        <v>290</v>
      </c>
      <c r="K129" s="21" t="n">
        <v>10</v>
      </c>
      <c r="L129" s="21" t="n">
        <v>17</v>
      </c>
      <c r="M129" s="10" t="n">
        <v>14952000</v>
      </c>
      <c r="N129" s="10" t="n">
        <v>0</v>
      </c>
      <c r="O129" s="11" t="n">
        <f aca="false">ROUND((M129+N129)*0.18,0)</f>
        <v>2691360</v>
      </c>
      <c r="P129" s="11" t="n">
        <f aca="false">M129+N129+O129</f>
        <v>17643360</v>
      </c>
      <c r="Q129" s="9"/>
      <c r="R129" s="8" t="s">
        <v>303</v>
      </c>
      <c r="S129" s="8" t="s">
        <v>293</v>
      </c>
    </row>
    <row r="130" customFormat="false" ht="15" hidden="false" customHeight="false" outlineLevel="0" collapsed="false">
      <c r="B130" s="8" t="s">
        <v>175</v>
      </c>
      <c r="C130" s="8" t="s">
        <v>279</v>
      </c>
      <c r="D130" s="9" t="s">
        <v>478</v>
      </c>
      <c r="E130" s="8" t="s">
        <v>81</v>
      </c>
      <c r="F130" s="8" t="s">
        <v>376</v>
      </c>
      <c r="G130" s="9" t="s">
        <v>440</v>
      </c>
      <c r="H130" s="21" t="n">
        <v>5</v>
      </c>
      <c r="I130" s="8" t="s">
        <v>288</v>
      </c>
      <c r="J130" s="8" t="s">
        <v>290</v>
      </c>
      <c r="K130" s="21" t="n">
        <v>10</v>
      </c>
      <c r="L130" s="21" t="n">
        <v>14</v>
      </c>
      <c r="M130" s="10" t="n">
        <v>14952000</v>
      </c>
      <c r="N130" s="10" t="n">
        <v>0</v>
      </c>
      <c r="O130" s="11" t="n">
        <f aca="false">ROUND((M130+N130)*0.18,0)</f>
        <v>2691360</v>
      </c>
      <c r="P130" s="11" t="n">
        <f aca="false">M130+N130+O130</f>
        <v>17643360</v>
      </c>
      <c r="Q130" s="9"/>
      <c r="R130" s="8" t="s">
        <v>303</v>
      </c>
      <c r="S130" s="8" t="s">
        <v>293</v>
      </c>
    </row>
    <row r="131" customFormat="false" ht="15" hidden="false" customHeight="false" outlineLevel="0" collapsed="false">
      <c r="B131" s="8" t="s">
        <v>175</v>
      </c>
      <c r="C131" s="8" t="s">
        <v>297</v>
      </c>
      <c r="D131" s="9" t="s">
        <v>482</v>
      </c>
      <c r="E131" s="8" t="s">
        <v>299</v>
      </c>
      <c r="F131" s="8" t="s">
        <v>300</v>
      </c>
      <c r="G131" s="9" t="s">
        <v>442</v>
      </c>
      <c r="H131" s="21" t="n">
        <v>5</v>
      </c>
      <c r="I131" s="8" t="s">
        <v>288</v>
      </c>
      <c r="J131" s="8" t="s">
        <v>294</v>
      </c>
      <c r="K131" s="21" t="n">
        <v>18</v>
      </c>
      <c r="L131" s="21" t="n">
        <v>22</v>
      </c>
      <c r="M131" s="10" t="n">
        <v>35303333</v>
      </c>
      <c r="N131" s="10" t="n">
        <v>0</v>
      </c>
      <c r="O131" s="11" t="n">
        <f aca="false">ROUND((M131+N131)*0.18,0)</f>
        <v>6354600</v>
      </c>
      <c r="P131" s="11" t="n">
        <f aca="false">M131+N131+O131</f>
        <v>41657933</v>
      </c>
      <c r="Q131" s="9"/>
      <c r="R131" s="8" t="s">
        <v>303</v>
      </c>
      <c r="S131" s="8" t="s">
        <v>293</v>
      </c>
    </row>
    <row r="132" customFormat="false" ht="15" hidden="false" customHeight="false" outlineLevel="0" collapsed="false">
      <c r="B132" s="8" t="s">
        <v>175</v>
      </c>
      <c r="C132" s="8" t="s">
        <v>297</v>
      </c>
      <c r="D132" s="9" t="s">
        <v>482</v>
      </c>
      <c r="E132" s="8" t="s">
        <v>299</v>
      </c>
      <c r="F132" s="8" t="s">
        <v>304</v>
      </c>
      <c r="G132" s="9" t="s">
        <v>483</v>
      </c>
      <c r="H132" s="21" t="n">
        <v>6</v>
      </c>
      <c r="I132" s="8" t="s">
        <v>288</v>
      </c>
      <c r="J132" s="8" t="s">
        <v>300</v>
      </c>
      <c r="K132" s="21" t="n">
        <v>23</v>
      </c>
      <c r="L132" s="21" t="n">
        <v>28</v>
      </c>
      <c r="M132" s="10" t="n">
        <v>35303333</v>
      </c>
      <c r="N132" s="10" t="n">
        <v>0</v>
      </c>
      <c r="O132" s="11" t="n">
        <f aca="false">ROUND((M132+N132)*0.18,0)</f>
        <v>6354600</v>
      </c>
      <c r="P132" s="11" t="n">
        <f aca="false">M132+N132+O132</f>
        <v>41657933</v>
      </c>
      <c r="Q132" s="9"/>
      <c r="R132" s="8" t="s">
        <v>303</v>
      </c>
      <c r="S132" s="8" t="s">
        <v>293</v>
      </c>
    </row>
    <row r="133" customFormat="false" ht="15" hidden="false" customHeight="false" outlineLevel="0" collapsed="false">
      <c r="B133" s="8" t="s">
        <v>175</v>
      </c>
      <c r="C133" s="8" t="s">
        <v>297</v>
      </c>
      <c r="D133" s="9" t="s">
        <v>482</v>
      </c>
      <c r="E133" s="8" t="s">
        <v>299</v>
      </c>
      <c r="F133" s="8" t="s">
        <v>307</v>
      </c>
      <c r="G133" s="9" t="s">
        <v>484</v>
      </c>
      <c r="H133" s="21" t="n">
        <v>6</v>
      </c>
      <c r="I133" s="8" t="s">
        <v>384</v>
      </c>
      <c r="J133" s="8" t="s">
        <v>304</v>
      </c>
      <c r="K133" s="21" t="n">
        <v>23</v>
      </c>
      <c r="L133" s="21" t="n">
        <v>28</v>
      </c>
      <c r="M133" s="10" t="n">
        <v>35303333</v>
      </c>
      <c r="N133" s="10" t="n">
        <v>0</v>
      </c>
      <c r="O133" s="11" t="n">
        <f aca="false">ROUND((M133+N133)*0.18,0)</f>
        <v>6354600</v>
      </c>
      <c r="P133" s="11" t="n">
        <f aca="false">M133+N133+O133</f>
        <v>41657933</v>
      </c>
      <c r="Q133" s="9"/>
      <c r="R133" s="8" t="s">
        <v>303</v>
      </c>
      <c r="S133" s="8" t="s">
        <v>293</v>
      </c>
    </row>
    <row r="134" customFormat="false" ht="15" hidden="false" customHeight="false" outlineLevel="0" collapsed="false">
      <c r="B134" s="8" t="s">
        <v>175</v>
      </c>
      <c r="C134" s="8" t="s">
        <v>297</v>
      </c>
      <c r="D134" s="9" t="s">
        <v>482</v>
      </c>
      <c r="E134" s="8" t="s">
        <v>299</v>
      </c>
      <c r="F134" s="8" t="s">
        <v>445</v>
      </c>
      <c r="G134" s="9" t="s">
        <v>485</v>
      </c>
      <c r="H134" s="21" t="n">
        <v>4</v>
      </c>
      <c r="I134" s="8" t="s">
        <v>288</v>
      </c>
      <c r="J134" s="8" t="s">
        <v>300</v>
      </c>
      <c r="K134" s="21" t="n">
        <v>23</v>
      </c>
      <c r="L134" s="21" t="n">
        <v>26</v>
      </c>
      <c r="M134" s="10" t="n">
        <v>35303333</v>
      </c>
      <c r="N134" s="10" t="n">
        <v>0</v>
      </c>
      <c r="O134" s="11" t="n">
        <f aca="false">ROUND((M134+N134)*0.18,0)</f>
        <v>6354600</v>
      </c>
      <c r="P134" s="11" t="n">
        <f aca="false">M134+N134+O134</f>
        <v>41657933</v>
      </c>
      <c r="Q134" s="9"/>
      <c r="R134" s="8" t="s">
        <v>303</v>
      </c>
      <c r="S134" s="8" t="s">
        <v>293</v>
      </c>
    </row>
    <row r="135" customFormat="false" ht="15" hidden="false" customHeight="false" outlineLevel="0" collapsed="false">
      <c r="B135" s="8" t="s">
        <v>175</v>
      </c>
      <c r="C135" s="8" t="s">
        <v>297</v>
      </c>
      <c r="D135" s="9" t="s">
        <v>482</v>
      </c>
      <c r="E135" s="8" t="s">
        <v>299</v>
      </c>
      <c r="F135" s="8" t="s">
        <v>486</v>
      </c>
      <c r="G135" s="9" t="s">
        <v>487</v>
      </c>
      <c r="H135" s="21" t="n">
        <v>3</v>
      </c>
      <c r="I135" s="8" t="s">
        <v>288</v>
      </c>
      <c r="J135" s="8" t="s">
        <v>445</v>
      </c>
      <c r="K135" s="21" t="n">
        <v>27</v>
      </c>
      <c r="L135" s="21" t="n">
        <v>29</v>
      </c>
      <c r="M135" s="10" t="n">
        <v>35303333</v>
      </c>
      <c r="N135" s="10" t="n">
        <v>0</v>
      </c>
      <c r="O135" s="11" t="n">
        <f aca="false">ROUND((M135+N135)*0.18,0)</f>
        <v>6354600</v>
      </c>
      <c r="P135" s="11" t="n">
        <f aca="false">M135+N135+O135</f>
        <v>41657933</v>
      </c>
      <c r="Q135" s="9"/>
      <c r="R135" s="8" t="s">
        <v>303</v>
      </c>
      <c r="S135" s="8" t="s">
        <v>293</v>
      </c>
    </row>
    <row r="136" customFormat="false" ht="15" hidden="false" customHeight="false" outlineLevel="0" collapsed="false">
      <c r="B136" s="8" t="s">
        <v>175</v>
      </c>
      <c r="C136" s="8" t="s">
        <v>297</v>
      </c>
      <c r="D136" s="9" t="s">
        <v>482</v>
      </c>
      <c r="E136" s="8" t="s">
        <v>299</v>
      </c>
      <c r="F136" s="8" t="s">
        <v>488</v>
      </c>
      <c r="G136" s="9" t="s">
        <v>503</v>
      </c>
      <c r="H136" s="21" t="n">
        <v>4</v>
      </c>
      <c r="I136" s="8" t="s">
        <v>384</v>
      </c>
      <c r="J136" s="8" t="s">
        <v>304</v>
      </c>
      <c r="K136" s="21" t="n">
        <v>23</v>
      </c>
      <c r="L136" s="21" t="n">
        <v>26</v>
      </c>
      <c r="M136" s="10" t="n">
        <v>35303335</v>
      </c>
      <c r="N136" s="10" t="n">
        <v>0</v>
      </c>
      <c r="O136" s="11" t="n">
        <f aca="false">ROUND((M136+N136)*0.18,0)</f>
        <v>6354600</v>
      </c>
      <c r="P136" s="11" t="n">
        <f aca="false">M136+N136+O136</f>
        <v>41657935</v>
      </c>
      <c r="Q136" s="9"/>
      <c r="R136" s="8" t="s">
        <v>303</v>
      </c>
      <c r="S136" s="8" t="s">
        <v>293</v>
      </c>
    </row>
    <row r="137" customFormat="false" ht="15" hidden="false" customHeight="false" outlineLevel="0" collapsed="false">
      <c r="B137" s="8" t="s">
        <v>175</v>
      </c>
      <c r="C137" s="8" t="s">
        <v>310</v>
      </c>
      <c r="D137" s="9" t="s">
        <v>504</v>
      </c>
      <c r="E137" s="8" t="s">
        <v>299</v>
      </c>
      <c r="F137" s="8" t="s">
        <v>312</v>
      </c>
      <c r="G137" s="9" t="s">
        <v>505</v>
      </c>
      <c r="H137" s="21" t="n">
        <v>5</v>
      </c>
      <c r="I137" s="8" t="s">
        <v>288</v>
      </c>
      <c r="J137" s="8" t="s">
        <v>300</v>
      </c>
      <c r="K137" s="21" t="n">
        <v>23</v>
      </c>
      <c r="L137" s="21" t="n">
        <v>27</v>
      </c>
      <c r="M137" s="10" t="n">
        <v>124600000</v>
      </c>
      <c r="N137" s="10" t="n">
        <v>0</v>
      </c>
      <c r="O137" s="11" t="n">
        <f aca="false">ROUND((M137+N137)*0.18,0)</f>
        <v>22428000</v>
      </c>
      <c r="P137" s="11" t="n">
        <f aca="false">M137+N137+O137</f>
        <v>147028000</v>
      </c>
      <c r="Q137" s="9"/>
      <c r="R137" s="8" t="s">
        <v>303</v>
      </c>
      <c r="S137" s="8" t="s">
        <v>293</v>
      </c>
    </row>
    <row r="138" customFormat="false" ht="15" hidden="false" customHeight="false" outlineLevel="0" collapsed="false">
      <c r="B138" s="8" t="s">
        <v>175</v>
      </c>
      <c r="C138" s="8" t="s">
        <v>310</v>
      </c>
      <c r="D138" s="9" t="s">
        <v>504</v>
      </c>
      <c r="E138" s="8" t="s">
        <v>299</v>
      </c>
      <c r="F138" s="8" t="s">
        <v>315</v>
      </c>
      <c r="G138" s="9" t="s">
        <v>506</v>
      </c>
      <c r="H138" s="21" t="n">
        <v>7</v>
      </c>
      <c r="I138" s="8" t="s">
        <v>288</v>
      </c>
      <c r="J138" s="8" t="s">
        <v>312</v>
      </c>
      <c r="K138" s="21" t="n">
        <v>28</v>
      </c>
      <c r="L138" s="21" t="n">
        <v>34</v>
      </c>
      <c r="M138" s="10" t="n">
        <v>124600000</v>
      </c>
      <c r="N138" s="10" t="n">
        <v>0</v>
      </c>
      <c r="O138" s="11" t="n">
        <f aca="false">ROUND((M138+N138)*0.18,0)</f>
        <v>22428000</v>
      </c>
      <c r="P138" s="11" t="n">
        <f aca="false">M138+N138+O138</f>
        <v>147028000</v>
      </c>
      <c r="Q138" s="9"/>
      <c r="R138" s="8" t="s">
        <v>303</v>
      </c>
      <c r="S138" s="8" t="s">
        <v>293</v>
      </c>
    </row>
    <row r="139" customFormat="false" ht="15" hidden="false" customHeight="false" outlineLevel="0" collapsed="false">
      <c r="B139" s="8" t="s">
        <v>175</v>
      </c>
      <c r="C139" s="8" t="s">
        <v>310</v>
      </c>
      <c r="D139" s="9" t="s">
        <v>504</v>
      </c>
      <c r="E139" s="8" t="s">
        <v>299</v>
      </c>
      <c r="F139" s="8" t="s">
        <v>318</v>
      </c>
      <c r="G139" s="9" t="s">
        <v>507</v>
      </c>
      <c r="H139" s="21" t="n">
        <v>5</v>
      </c>
      <c r="I139" s="8" t="s">
        <v>384</v>
      </c>
      <c r="J139" s="8" t="s">
        <v>315</v>
      </c>
      <c r="K139" s="21" t="n">
        <v>28</v>
      </c>
      <c r="L139" s="21" t="n">
        <v>32</v>
      </c>
      <c r="M139" s="10" t="n">
        <v>124600000</v>
      </c>
      <c r="N139" s="10" t="n">
        <v>0</v>
      </c>
      <c r="O139" s="11" t="n">
        <f aca="false">ROUND((M139+N139)*0.18,0)</f>
        <v>22428000</v>
      </c>
      <c r="P139" s="11" t="n">
        <f aca="false">M139+N139+O139</f>
        <v>147028000</v>
      </c>
      <c r="Q139" s="9"/>
      <c r="R139" s="8" t="s">
        <v>303</v>
      </c>
      <c r="S139" s="8" t="s">
        <v>293</v>
      </c>
    </row>
    <row r="140" customFormat="false" ht="15" hidden="false" customHeight="false" outlineLevel="0" collapsed="false">
      <c r="B140" s="8" t="s">
        <v>175</v>
      </c>
      <c r="C140" s="8" t="s">
        <v>310</v>
      </c>
      <c r="D140" s="9" t="s">
        <v>504</v>
      </c>
      <c r="E140" s="8" t="s">
        <v>299</v>
      </c>
      <c r="F140" s="8" t="s">
        <v>451</v>
      </c>
      <c r="G140" s="9" t="s">
        <v>508</v>
      </c>
      <c r="H140" s="21" t="n">
        <v>7</v>
      </c>
      <c r="I140" s="8" t="s">
        <v>288</v>
      </c>
      <c r="J140" s="8" t="s">
        <v>318</v>
      </c>
      <c r="K140" s="21" t="n">
        <v>33</v>
      </c>
      <c r="L140" s="21" t="n">
        <v>39</v>
      </c>
      <c r="M140" s="10" t="n">
        <v>124600000</v>
      </c>
      <c r="N140" s="10" t="n">
        <v>0</v>
      </c>
      <c r="O140" s="11" t="n">
        <f aca="false">ROUND((M140+N140)*0.18,0)</f>
        <v>22428000</v>
      </c>
      <c r="P140" s="11" t="n">
        <f aca="false">M140+N140+O140</f>
        <v>147028000</v>
      </c>
      <c r="Q140" s="9"/>
      <c r="R140" s="8" t="s">
        <v>303</v>
      </c>
      <c r="S140" s="8" t="s">
        <v>293</v>
      </c>
    </row>
    <row r="141" customFormat="false" ht="15" hidden="false" customHeight="false" outlineLevel="0" collapsed="false">
      <c r="B141" s="8" t="s">
        <v>175</v>
      </c>
      <c r="C141" s="8" t="s">
        <v>320</v>
      </c>
      <c r="D141" s="9" t="s">
        <v>509</v>
      </c>
      <c r="E141" s="8" t="s">
        <v>454</v>
      </c>
      <c r="F141" s="8" t="s">
        <v>323</v>
      </c>
      <c r="G141" s="9" t="s">
        <v>455</v>
      </c>
      <c r="H141" s="21" t="n">
        <v>7</v>
      </c>
      <c r="I141" s="8" t="s">
        <v>288</v>
      </c>
      <c r="J141" s="8" t="s">
        <v>315</v>
      </c>
      <c r="K141" s="21" t="n">
        <v>35</v>
      </c>
      <c r="L141" s="21" t="n">
        <v>41</v>
      </c>
      <c r="M141" s="10" t="n">
        <v>59808000</v>
      </c>
      <c r="N141" s="10" t="n">
        <v>12460000</v>
      </c>
      <c r="O141" s="11" t="n">
        <f aca="false">ROUND((M141+N141)*0.18,0)</f>
        <v>13008240</v>
      </c>
      <c r="P141" s="11" t="n">
        <f aca="false">M141+N141+O141</f>
        <v>85276240</v>
      </c>
      <c r="Q141" s="9"/>
      <c r="R141" s="8" t="s">
        <v>303</v>
      </c>
      <c r="S141" s="8" t="s">
        <v>293</v>
      </c>
    </row>
    <row r="142" customFormat="false" ht="15" hidden="false" customHeight="false" outlineLevel="0" collapsed="false">
      <c r="B142" s="8" t="s">
        <v>175</v>
      </c>
      <c r="C142" s="8" t="s">
        <v>320</v>
      </c>
      <c r="D142" s="9" t="s">
        <v>509</v>
      </c>
      <c r="E142" s="8" t="s">
        <v>454</v>
      </c>
      <c r="F142" s="8" t="s">
        <v>326</v>
      </c>
      <c r="G142" s="9" t="s">
        <v>456</v>
      </c>
      <c r="H142" s="21" t="n">
        <v>3</v>
      </c>
      <c r="I142" s="8" t="s">
        <v>288</v>
      </c>
      <c r="J142" s="8" t="s">
        <v>323</v>
      </c>
      <c r="K142" s="21" t="n">
        <v>42</v>
      </c>
      <c r="L142" s="21" t="n">
        <v>44</v>
      </c>
      <c r="M142" s="10" t="n">
        <v>59808000</v>
      </c>
      <c r="N142" s="10" t="n">
        <v>12460000</v>
      </c>
      <c r="O142" s="11" t="n">
        <f aca="false">ROUND((M142+N142)*0.18,0)</f>
        <v>13008240</v>
      </c>
      <c r="P142" s="11" t="n">
        <f aca="false">M142+N142+O142</f>
        <v>85276240</v>
      </c>
      <c r="Q142" s="9"/>
      <c r="R142" s="8" t="s">
        <v>303</v>
      </c>
      <c r="S142" s="8" t="s">
        <v>293</v>
      </c>
    </row>
    <row r="143" customFormat="false" ht="15" hidden="false" customHeight="false" outlineLevel="0" collapsed="false">
      <c r="B143" s="8" t="s">
        <v>175</v>
      </c>
      <c r="C143" s="8" t="s">
        <v>320</v>
      </c>
      <c r="D143" s="9" t="s">
        <v>509</v>
      </c>
      <c r="E143" s="8" t="s">
        <v>454</v>
      </c>
      <c r="F143" s="8" t="s">
        <v>329</v>
      </c>
      <c r="G143" s="9" t="s">
        <v>510</v>
      </c>
      <c r="H143" s="21" t="n">
        <v>4</v>
      </c>
      <c r="I143" s="8" t="s">
        <v>384</v>
      </c>
      <c r="J143" s="8" t="s">
        <v>326</v>
      </c>
      <c r="K143" s="21" t="n">
        <v>42</v>
      </c>
      <c r="L143" s="21" t="n">
        <v>45</v>
      </c>
      <c r="M143" s="10" t="n">
        <v>59808000</v>
      </c>
      <c r="N143" s="10" t="n">
        <v>12460000</v>
      </c>
      <c r="O143" s="11" t="n">
        <f aca="false">ROUND((M143+N143)*0.18,0)</f>
        <v>13008240</v>
      </c>
      <c r="P143" s="11" t="n">
        <f aca="false">M143+N143+O143</f>
        <v>85276240</v>
      </c>
      <c r="Q143" s="9"/>
      <c r="R143" s="8" t="s">
        <v>303</v>
      </c>
      <c r="S143" s="8" t="s">
        <v>293</v>
      </c>
    </row>
    <row r="144" customFormat="false" ht="15" hidden="false" customHeight="false" outlineLevel="0" collapsed="false">
      <c r="B144" s="8" t="s">
        <v>175</v>
      </c>
      <c r="C144" s="8" t="s">
        <v>320</v>
      </c>
      <c r="D144" s="9" t="s">
        <v>509</v>
      </c>
      <c r="E144" s="8" t="s">
        <v>454</v>
      </c>
      <c r="F144" s="8" t="s">
        <v>332</v>
      </c>
      <c r="G144" s="9" t="s">
        <v>511</v>
      </c>
      <c r="H144" s="21" t="n">
        <v>3</v>
      </c>
      <c r="I144" s="8" t="s">
        <v>288</v>
      </c>
      <c r="J144" s="8" t="s">
        <v>329</v>
      </c>
      <c r="K144" s="21" t="n">
        <v>46</v>
      </c>
      <c r="L144" s="21" t="n">
        <v>48</v>
      </c>
      <c r="M144" s="10" t="n">
        <v>59808000</v>
      </c>
      <c r="N144" s="10" t="n">
        <v>12460000</v>
      </c>
      <c r="O144" s="11" t="n">
        <f aca="false">ROUND((M144+N144)*0.18,0)</f>
        <v>13008240</v>
      </c>
      <c r="P144" s="11" t="n">
        <f aca="false">M144+N144+O144</f>
        <v>85276240</v>
      </c>
      <c r="Q144" s="9"/>
      <c r="R144" s="8" t="s">
        <v>303</v>
      </c>
      <c r="S144" s="8" t="s">
        <v>293</v>
      </c>
    </row>
    <row r="145" customFormat="false" ht="15" hidden="false" customHeight="false" outlineLevel="0" collapsed="false">
      <c r="B145" s="8" t="s">
        <v>175</v>
      </c>
      <c r="C145" s="8" t="s">
        <v>320</v>
      </c>
      <c r="D145" s="9" t="s">
        <v>509</v>
      </c>
      <c r="E145" s="8" t="s">
        <v>454</v>
      </c>
      <c r="F145" s="8" t="s">
        <v>458</v>
      </c>
      <c r="G145" s="9" t="s">
        <v>457</v>
      </c>
      <c r="H145" s="21" t="n">
        <v>4</v>
      </c>
      <c r="I145" s="8" t="s">
        <v>288</v>
      </c>
      <c r="J145" s="8" t="s">
        <v>332</v>
      </c>
      <c r="K145" s="21" t="n">
        <v>49</v>
      </c>
      <c r="L145" s="21" t="n">
        <v>52</v>
      </c>
      <c r="M145" s="10" t="n">
        <v>59808000</v>
      </c>
      <c r="N145" s="10" t="n">
        <v>12460000</v>
      </c>
      <c r="O145" s="11" t="n">
        <f aca="false">ROUND((M145+N145)*0.18,0)</f>
        <v>13008240</v>
      </c>
      <c r="P145" s="11" t="n">
        <f aca="false">M145+N145+O145</f>
        <v>85276240</v>
      </c>
      <c r="Q145" s="9"/>
      <c r="R145" s="8" t="s">
        <v>303</v>
      </c>
      <c r="S145" s="8" t="s">
        <v>293</v>
      </c>
    </row>
    <row r="146" customFormat="false" ht="15" hidden="false" customHeight="false" outlineLevel="0" collapsed="false">
      <c r="B146" s="8" t="s">
        <v>175</v>
      </c>
      <c r="C146" s="8" t="s">
        <v>335</v>
      </c>
      <c r="D146" s="9" t="s">
        <v>467</v>
      </c>
      <c r="E146" s="8" t="s">
        <v>361</v>
      </c>
      <c r="F146" s="8" t="s">
        <v>337</v>
      </c>
      <c r="G146" s="9" t="s">
        <v>468</v>
      </c>
      <c r="H146" s="21" t="n">
        <v>4</v>
      </c>
      <c r="I146" s="8" t="s">
        <v>288</v>
      </c>
      <c r="J146" s="8" t="s">
        <v>486</v>
      </c>
      <c r="K146" s="21" t="n">
        <v>30</v>
      </c>
      <c r="L146" s="21" t="n">
        <v>33</v>
      </c>
      <c r="M146" s="10" t="n">
        <v>19936000</v>
      </c>
      <c r="N146" s="10" t="n">
        <v>0</v>
      </c>
      <c r="O146" s="11" t="n">
        <f aca="false">ROUND((M146+N146)*0.18,0)</f>
        <v>3588480</v>
      </c>
      <c r="P146" s="11" t="n">
        <f aca="false">M146+N146+O146</f>
        <v>23524480</v>
      </c>
      <c r="Q146" s="9"/>
      <c r="R146" s="8" t="s">
        <v>303</v>
      </c>
      <c r="S146" s="8" t="s">
        <v>293</v>
      </c>
    </row>
    <row r="147" customFormat="false" ht="15" hidden="false" customHeight="false" outlineLevel="0" collapsed="false">
      <c r="B147" s="8" t="s">
        <v>175</v>
      </c>
      <c r="C147" s="8" t="s">
        <v>335</v>
      </c>
      <c r="D147" s="9" t="s">
        <v>467</v>
      </c>
      <c r="E147" s="8" t="s">
        <v>361</v>
      </c>
      <c r="F147" s="8" t="s">
        <v>340</v>
      </c>
      <c r="G147" s="9" t="s">
        <v>469</v>
      </c>
      <c r="H147" s="21" t="n">
        <v>4</v>
      </c>
      <c r="I147" s="8" t="s">
        <v>288</v>
      </c>
      <c r="J147" s="8" t="s">
        <v>486</v>
      </c>
      <c r="K147" s="21" t="n">
        <v>30</v>
      </c>
      <c r="L147" s="21" t="n">
        <v>33</v>
      </c>
      <c r="M147" s="10" t="n">
        <v>19936000</v>
      </c>
      <c r="N147" s="10" t="n">
        <v>0</v>
      </c>
      <c r="O147" s="11" t="n">
        <f aca="false">ROUND((M147+N147)*0.18,0)</f>
        <v>3588480</v>
      </c>
      <c r="P147" s="11" t="n">
        <f aca="false">M147+N147+O147</f>
        <v>23524480</v>
      </c>
      <c r="Q147" s="9"/>
      <c r="R147" s="8" t="s">
        <v>303</v>
      </c>
      <c r="S147" s="8" t="s">
        <v>293</v>
      </c>
    </row>
    <row r="148" customFormat="false" ht="15" hidden="false" customHeight="false" outlineLevel="0" collapsed="false">
      <c r="B148" s="8" t="s">
        <v>175</v>
      </c>
      <c r="C148" s="8" t="s">
        <v>335</v>
      </c>
      <c r="D148" s="9" t="s">
        <v>467</v>
      </c>
      <c r="E148" s="8" t="s">
        <v>361</v>
      </c>
      <c r="F148" s="8" t="s">
        <v>341</v>
      </c>
      <c r="G148" s="9" t="s">
        <v>512</v>
      </c>
      <c r="H148" s="21" t="n">
        <v>3</v>
      </c>
      <c r="I148" s="8" t="s">
        <v>384</v>
      </c>
      <c r="J148" s="8" t="s">
        <v>340</v>
      </c>
      <c r="K148" s="21" t="n">
        <v>30</v>
      </c>
      <c r="L148" s="21" t="n">
        <v>32</v>
      </c>
      <c r="M148" s="10" t="n">
        <v>19936000</v>
      </c>
      <c r="N148" s="10" t="n">
        <v>0</v>
      </c>
      <c r="O148" s="11" t="n">
        <f aca="false">ROUND((M148+N148)*0.18,0)</f>
        <v>3588480</v>
      </c>
      <c r="P148" s="11" t="n">
        <f aca="false">M148+N148+O148</f>
        <v>23524480</v>
      </c>
      <c r="Q148" s="9"/>
      <c r="R148" s="8" t="s">
        <v>303</v>
      </c>
      <c r="S148" s="8" t="s">
        <v>293</v>
      </c>
    </row>
    <row r="149" customFormat="false" ht="15" hidden="false" customHeight="false" outlineLevel="0" collapsed="false">
      <c r="B149" s="8" t="s">
        <v>175</v>
      </c>
      <c r="C149" s="8" t="s">
        <v>335</v>
      </c>
      <c r="D149" s="9" t="s">
        <v>467</v>
      </c>
      <c r="E149" s="8" t="s">
        <v>361</v>
      </c>
      <c r="F149" s="8" t="s">
        <v>461</v>
      </c>
      <c r="G149" s="9" t="s">
        <v>513</v>
      </c>
      <c r="H149" s="21" t="n">
        <v>3</v>
      </c>
      <c r="I149" s="8" t="s">
        <v>384</v>
      </c>
      <c r="J149" s="8" t="s">
        <v>337</v>
      </c>
      <c r="K149" s="21" t="n">
        <v>30</v>
      </c>
      <c r="L149" s="21" t="n">
        <v>32</v>
      </c>
      <c r="M149" s="10" t="n">
        <v>19936000</v>
      </c>
      <c r="N149" s="10" t="n">
        <v>0</v>
      </c>
      <c r="O149" s="11" t="n">
        <f aca="false">ROUND((M149+N149)*0.18,0)</f>
        <v>3588480</v>
      </c>
      <c r="P149" s="11" t="n">
        <f aca="false">M149+N149+O149</f>
        <v>23524480</v>
      </c>
      <c r="Q149" s="9"/>
      <c r="R149" s="8" t="s">
        <v>303</v>
      </c>
      <c r="S149" s="8" t="s">
        <v>293</v>
      </c>
    </row>
    <row r="150" customFormat="false" ht="15" hidden="false" customHeight="false" outlineLevel="0" collapsed="false">
      <c r="B150" s="8" t="s">
        <v>175</v>
      </c>
      <c r="C150" s="8" t="s">
        <v>335</v>
      </c>
      <c r="D150" s="9" t="s">
        <v>467</v>
      </c>
      <c r="E150" s="8" t="s">
        <v>361</v>
      </c>
      <c r="F150" s="8" t="s">
        <v>463</v>
      </c>
      <c r="G150" s="9" t="s">
        <v>501</v>
      </c>
      <c r="H150" s="21" t="n">
        <v>2</v>
      </c>
      <c r="I150" s="8" t="s">
        <v>288</v>
      </c>
      <c r="J150" s="8" t="s">
        <v>337</v>
      </c>
      <c r="K150" s="21" t="n">
        <v>34</v>
      </c>
      <c r="L150" s="21" t="n">
        <v>35</v>
      </c>
      <c r="M150" s="10" t="n">
        <v>19936000</v>
      </c>
      <c r="N150" s="10" t="n">
        <v>0</v>
      </c>
      <c r="O150" s="11" t="n">
        <f aca="false">ROUND((M150+N150)*0.18,0)</f>
        <v>3588480</v>
      </c>
      <c r="P150" s="11" t="n">
        <f aca="false">M150+N150+O150</f>
        <v>23524480</v>
      </c>
      <c r="Q150" s="9"/>
      <c r="R150" s="8" t="s">
        <v>303</v>
      </c>
      <c r="S150" s="8" t="s">
        <v>293</v>
      </c>
    </row>
    <row r="151" customFormat="false" ht="15" hidden="false" customHeight="false" outlineLevel="0" collapsed="false">
      <c r="B151" s="8" t="s">
        <v>175</v>
      </c>
      <c r="C151" s="8" t="s">
        <v>343</v>
      </c>
      <c r="D151" s="9" t="s">
        <v>473</v>
      </c>
      <c r="E151" s="8" t="s">
        <v>361</v>
      </c>
      <c r="F151" s="8" t="s">
        <v>346</v>
      </c>
      <c r="G151" s="9" t="s">
        <v>474</v>
      </c>
      <c r="H151" s="21" t="n">
        <v>3</v>
      </c>
      <c r="I151" s="8" t="s">
        <v>288</v>
      </c>
      <c r="J151" s="8" t="s">
        <v>458</v>
      </c>
      <c r="K151" s="21" t="n">
        <v>53</v>
      </c>
      <c r="L151" s="21" t="n">
        <v>55</v>
      </c>
      <c r="M151" s="10" t="n">
        <v>12460000</v>
      </c>
      <c r="N151" s="10" t="n">
        <v>0</v>
      </c>
      <c r="O151" s="11" t="n">
        <f aca="false">ROUND((M151+N151)*0.18,0)</f>
        <v>2242800</v>
      </c>
      <c r="P151" s="11" t="n">
        <f aca="false">M151+N151+O151</f>
        <v>14702800</v>
      </c>
      <c r="Q151" s="9"/>
      <c r="R151" s="8" t="s">
        <v>303</v>
      </c>
      <c r="S151" s="8" t="s">
        <v>293</v>
      </c>
    </row>
    <row r="152" customFormat="false" ht="15" hidden="false" customHeight="false" outlineLevel="0" collapsed="false">
      <c r="B152" s="8" t="s">
        <v>175</v>
      </c>
      <c r="C152" s="8" t="s">
        <v>343</v>
      </c>
      <c r="D152" s="9" t="s">
        <v>473</v>
      </c>
      <c r="E152" s="8" t="s">
        <v>361</v>
      </c>
      <c r="F152" s="8" t="s">
        <v>348</v>
      </c>
      <c r="G152" s="9" t="s">
        <v>502</v>
      </c>
      <c r="H152" s="21" t="n">
        <v>4</v>
      </c>
      <c r="I152" s="8" t="s">
        <v>288</v>
      </c>
      <c r="J152" s="8" t="s">
        <v>346</v>
      </c>
      <c r="K152" s="21" t="n">
        <v>56</v>
      </c>
      <c r="L152" s="21" t="n">
        <v>59</v>
      </c>
      <c r="M152" s="10" t="n">
        <v>12460000</v>
      </c>
      <c r="N152" s="10" t="n">
        <v>0</v>
      </c>
      <c r="O152" s="11" t="n">
        <f aca="false">ROUND((M152+N152)*0.18,0)</f>
        <v>2242800</v>
      </c>
      <c r="P152" s="11" t="n">
        <f aca="false">M152+N152+O152</f>
        <v>14702800</v>
      </c>
      <c r="Q152" s="9"/>
      <c r="R152" s="8" t="s">
        <v>303</v>
      </c>
      <c r="S152" s="8" t="s">
        <v>293</v>
      </c>
    </row>
    <row r="153" customFormat="false" ht="15" hidden="false" customHeight="false" outlineLevel="0" collapsed="false">
      <c r="B153" s="8" t="s">
        <v>175</v>
      </c>
      <c r="C153" s="8" t="s">
        <v>343</v>
      </c>
      <c r="D153" s="9" t="s">
        <v>473</v>
      </c>
      <c r="E153" s="8" t="s">
        <v>361</v>
      </c>
      <c r="F153" s="8" t="s">
        <v>403</v>
      </c>
      <c r="G153" s="9" t="s">
        <v>514</v>
      </c>
      <c r="H153" s="21" t="n">
        <v>2</v>
      </c>
      <c r="I153" s="8" t="s">
        <v>288</v>
      </c>
      <c r="J153" s="8" t="s">
        <v>348</v>
      </c>
      <c r="K153" s="21" t="n">
        <v>60</v>
      </c>
      <c r="L153" s="21" t="n">
        <v>61</v>
      </c>
      <c r="M153" s="10" t="n">
        <v>12460000</v>
      </c>
      <c r="N153" s="10" t="n">
        <v>0</v>
      </c>
      <c r="O153" s="11" t="n">
        <f aca="false">ROUND((M153+N153)*0.18,0)</f>
        <v>2242800</v>
      </c>
      <c r="P153" s="11" t="n">
        <f aca="false">M153+N153+O153</f>
        <v>14702800</v>
      </c>
      <c r="Q153" s="9"/>
      <c r="R153" s="8" t="s">
        <v>303</v>
      </c>
      <c r="S153" s="8" t="s">
        <v>293</v>
      </c>
    </row>
    <row r="154" customFormat="false" ht="15" hidden="false" customHeight="false" outlineLevel="0" collapsed="false">
      <c r="B154" s="8" t="s">
        <v>175</v>
      </c>
      <c r="C154" s="8" t="s">
        <v>343</v>
      </c>
      <c r="D154" s="9" t="s">
        <v>473</v>
      </c>
      <c r="E154" s="8" t="s">
        <v>361</v>
      </c>
      <c r="F154" s="8" t="s">
        <v>471</v>
      </c>
      <c r="G154" s="9" t="s">
        <v>515</v>
      </c>
      <c r="H154" s="21" t="n">
        <v>2</v>
      </c>
      <c r="I154" s="8" t="s">
        <v>288</v>
      </c>
      <c r="J154" s="8" t="s">
        <v>403</v>
      </c>
      <c r="K154" s="21" t="n">
        <v>62</v>
      </c>
      <c r="L154" s="21" t="n">
        <v>63</v>
      </c>
      <c r="M154" s="10" t="n">
        <v>12460000</v>
      </c>
      <c r="N154" s="10" t="n">
        <v>0</v>
      </c>
      <c r="O154" s="11" t="n">
        <f aca="false">ROUND((M154+N154)*0.18,0)</f>
        <v>2242800</v>
      </c>
      <c r="P154" s="11" t="n">
        <f aca="false">M154+N154+O154</f>
        <v>14702800</v>
      </c>
      <c r="Q154" s="9"/>
      <c r="R154" s="8" t="s">
        <v>303</v>
      </c>
      <c r="S154" s="8" t="s">
        <v>293</v>
      </c>
    </row>
    <row r="155" customFormat="false" ht="15" hidden="false" customHeight="false" outlineLevel="0" collapsed="false">
      <c r="B155" s="8" t="s">
        <v>175</v>
      </c>
      <c r="C155" s="8" t="s">
        <v>343</v>
      </c>
      <c r="D155" s="9" t="s">
        <v>473</v>
      </c>
      <c r="E155" s="8" t="s">
        <v>361</v>
      </c>
      <c r="F155" s="8" t="s">
        <v>500</v>
      </c>
      <c r="G155" s="9" t="s">
        <v>477</v>
      </c>
      <c r="H155" s="21" t="n">
        <v>2</v>
      </c>
      <c r="I155" s="8" t="s">
        <v>288</v>
      </c>
      <c r="J155" s="8" t="s">
        <v>471</v>
      </c>
      <c r="K155" s="21" t="n">
        <v>64</v>
      </c>
      <c r="L155" s="21" t="n">
        <v>65</v>
      </c>
      <c r="M155" s="10" t="n">
        <v>12460000</v>
      </c>
      <c r="N155" s="10" t="n">
        <v>0</v>
      </c>
      <c r="O155" s="11" t="n">
        <f aca="false">ROUND((M155+N155)*0.18,0)</f>
        <v>2242800</v>
      </c>
      <c r="P155" s="11" t="n">
        <f aca="false">M155+N155+O155</f>
        <v>14702800</v>
      </c>
      <c r="Q155" s="9"/>
      <c r="R155" s="8" t="s">
        <v>303</v>
      </c>
      <c r="S155" s="8" t="s">
        <v>293</v>
      </c>
    </row>
    <row r="156" customFormat="false" ht="15" hidden="false" customHeight="false" outlineLevel="0" collapsed="false">
      <c r="B156" s="8" t="s">
        <v>118</v>
      </c>
      <c r="C156" s="8" t="s">
        <v>279</v>
      </c>
      <c r="D156" s="9" t="s">
        <v>516</v>
      </c>
      <c r="E156" s="8" t="s">
        <v>81</v>
      </c>
      <c r="F156" s="8" t="s">
        <v>281</v>
      </c>
      <c r="G156" s="9" t="s">
        <v>517</v>
      </c>
      <c r="H156" s="21" t="n">
        <v>3</v>
      </c>
      <c r="I156" s="8"/>
      <c r="J156" s="8"/>
      <c r="K156" s="21" t="n">
        <v>1</v>
      </c>
      <c r="L156" s="21" t="n">
        <v>3</v>
      </c>
      <c r="M156" s="10" t="n">
        <v>0</v>
      </c>
      <c r="N156" s="10" t="n">
        <v>0</v>
      </c>
      <c r="O156" s="11" t="n">
        <f aca="false">ROUND((M156+N156)*0.18,0)</f>
        <v>0</v>
      </c>
      <c r="P156" s="11" t="n">
        <f aca="false">M156+N156+O156</f>
        <v>0</v>
      </c>
      <c r="Q156" s="9"/>
      <c r="R156" s="8" t="s">
        <v>284</v>
      </c>
      <c r="S156" s="8" t="s">
        <v>285</v>
      </c>
    </row>
    <row r="157" customFormat="false" ht="15" hidden="false" customHeight="false" outlineLevel="0" collapsed="false">
      <c r="B157" s="8" t="s">
        <v>118</v>
      </c>
      <c r="C157" s="8" t="s">
        <v>279</v>
      </c>
      <c r="D157" s="9" t="s">
        <v>516</v>
      </c>
      <c r="E157" s="8" t="s">
        <v>81</v>
      </c>
      <c r="F157" s="8" t="s">
        <v>286</v>
      </c>
      <c r="G157" s="9" t="s">
        <v>518</v>
      </c>
      <c r="H157" s="21" t="n">
        <v>5</v>
      </c>
      <c r="I157" s="8" t="s">
        <v>288</v>
      </c>
      <c r="J157" s="8" t="s">
        <v>281</v>
      </c>
      <c r="K157" s="21" t="n">
        <v>4</v>
      </c>
      <c r="L157" s="21" t="n">
        <v>8</v>
      </c>
      <c r="M157" s="10" t="n">
        <v>0</v>
      </c>
      <c r="N157" s="10" t="n">
        <v>0</v>
      </c>
      <c r="O157" s="11" t="n">
        <f aca="false">ROUND((M157+N157)*0.18,0)</f>
        <v>0</v>
      </c>
      <c r="P157" s="11" t="n">
        <f aca="false">M157+N157+O157</f>
        <v>0</v>
      </c>
      <c r="Q157" s="9"/>
      <c r="R157" s="8" t="s">
        <v>284</v>
      </c>
      <c r="S157" s="8" t="s">
        <v>285</v>
      </c>
    </row>
    <row r="158" customFormat="false" ht="15" hidden="false" customHeight="false" outlineLevel="0" collapsed="false">
      <c r="B158" s="8" t="s">
        <v>118</v>
      </c>
      <c r="C158" s="8" t="s">
        <v>279</v>
      </c>
      <c r="D158" s="9" t="s">
        <v>516</v>
      </c>
      <c r="E158" s="8" t="s">
        <v>81</v>
      </c>
      <c r="F158" s="8" t="s">
        <v>290</v>
      </c>
      <c r="G158" s="9" t="s">
        <v>519</v>
      </c>
      <c r="H158" s="21" t="n">
        <v>2</v>
      </c>
      <c r="I158" s="8" t="s">
        <v>288</v>
      </c>
      <c r="J158" s="8" t="s">
        <v>286</v>
      </c>
      <c r="K158" s="21" t="n">
        <v>9</v>
      </c>
      <c r="L158" s="21" t="n">
        <v>10</v>
      </c>
      <c r="M158" s="10" t="n">
        <v>0</v>
      </c>
      <c r="N158" s="10" t="n">
        <v>0</v>
      </c>
      <c r="O158" s="11" t="n">
        <f aca="false">ROUND((M158+N158)*0.18,0)</f>
        <v>0</v>
      </c>
      <c r="P158" s="11" t="n">
        <f aca="false">M158+N158+O158</f>
        <v>0</v>
      </c>
      <c r="Q158" s="9"/>
      <c r="R158" s="8" t="s">
        <v>284</v>
      </c>
      <c r="S158" s="8" t="s">
        <v>285</v>
      </c>
    </row>
    <row r="159" customFormat="false" ht="15" hidden="false" customHeight="false" outlineLevel="0" collapsed="false">
      <c r="B159" s="8" t="s">
        <v>118</v>
      </c>
      <c r="C159" s="8" t="s">
        <v>279</v>
      </c>
      <c r="D159" s="9" t="s">
        <v>516</v>
      </c>
      <c r="E159" s="8" t="s">
        <v>81</v>
      </c>
      <c r="F159" s="8" t="s">
        <v>294</v>
      </c>
      <c r="G159" s="9" t="s">
        <v>520</v>
      </c>
      <c r="H159" s="21" t="n">
        <v>2</v>
      </c>
      <c r="I159" s="8" t="s">
        <v>384</v>
      </c>
      <c r="J159" s="8" t="s">
        <v>290</v>
      </c>
      <c r="K159" s="21" t="n">
        <v>9</v>
      </c>
      <c r="L159" s="21" t="n">
        <v>10</v>
      </c>
      <c r="M159" s="10" t="n">
        <v>0</v>
      </c>
      <c r="N159" s="10" t="n">
        <v>0</v>
      </c>
      <c r="O159" s="11" t="n">
        <f aca="false">ROUND((M159+N159)*0.18,0)</f>
        <v>0</v>
      </c>
      <c r="P159" s="11" t="n">
        <f aca="false">M159+N159+O159</f>
        <v>0</v>
      </c>
      <c r="Q159" s="9"/>
      <c r="R159" s="8" t="s">
        <v>284</v>
      </c>
      <c r="S159" s="8" t="s">
        <v>285</v>
      </c>
    </row>
    <row r="160" customFormat="false" ht="15" hidden="false" customHeight="false" outlineLevel="0" collapsed="false">
      <c r="B160" s="8" t="s">
        <v>118</v>
      </c>
      <c r="C160" s="8" t="s">
        <v>279</v>
      </c>
      <c r="D160" s="9" t="s">
        <v>516</v>
      </c>
      <c r="E160" s="8" t="s">
        <v>81</v>
      </c>
      <c r="F160" s="8" t="s">
        <v>376</v>
      </c>
      <c r="G160" s="9" t="s">
        <v>521</v>
      </c>
      <c r="H160" s="21" t="n">
        <v>6</v>
      </c>
      <c r="I160" s="8" t="s">
        <v>288</v>
      </c>
      <c r="J160" s="8" t="s">
        <v>290</v>
      </c>
      <c r="K160" s="21" t="n">
        <v>11</v>
      </c>
      <c r="L160" s="21" t="n">
        <v>16</v>
      </c>
      <c r="M160" s="10" t="n">
        <v>0</v>
      </c>
      <c r="N160" s="10" t="n">
        <v>0</v>
      </c>
      <c r="O160" s="11" t="n">
        <f aca="false">ROUND((M160+N160)*0.18,0)</f>
        <v>0</v>
      </c>
      <c r="P160" s="11" t="n">
        <f aca="false">M160+N160+O160</f>
        <v>0</v>
      </c>
      <c r="Q160" s="9"/>
      <c r="R160" s="8" t="s">
        <v>284</v>
      </c>
      <c r="S160" s="8" t="s">
        <v>285</v>
      </c>
    </row>
    <row r="161" customFormat="false" ht="15" hidden="false" customHeight="false" outlineLevel="0" collapsed="false">
      <c r="B161" s="8" t="s">
        <v>118</v>
      </c>
      <c r="C161" s="8" t="s">
        <v>297</v>
      </c>
      <c r="D161" s="9" t="s">
        <v>522</v>
      </c>
      <c r="E161" s="8" t="s">
        <v>345</v>
      </c>
      <c r="F161" s="8" t="s">
        <v>300</v>
      </c>
      <c r="G161" s="9" t="s">
        <v>523</v>
      </c>
      <c r="H161" s="21" t="n">
        <v>4</v>
      </c>
      <c r="I161" s="8" t="s">
        <v>288</v>
      </c>
      <c r="J161" s="8" t="s">
        <v>290</v>
      </c>
      <c r="K161" s="21" t="n">
        <v>11</v>
      </c>
      <c r="L161" s="21" t="n">
        <v>14</v>
      </c>
      <c r="M161" s="10" t="n">
        <v>6000000</v>
      </c>
      <c r="N161" s="10" t="n">
        <v>0</v>
      </c>
      <c r="O161" s="11" t="n">
        <f aca="false">ROUND((M161+N161)*0.18,0)</f>
        <v>1080000</v>
      </c>
      <c r="P161" s="11" t="n">
        <f aca="false">M161+N161+O161</f>
        <v>7080000</v>
      </c>
      <c r="Q161" s="9"/>
      <c r="R161" s="8" t="s">
        <v>284</v>
      </c>
      <c r="S161" s="8" t="s">
        <v>285</v>
      </c>
    </row>
    <row r="162" customFormat="false" ht="15" hidden="false" customHeight="false" outlineLevel="0" collapsed="false">
      <c r="B162" s="8" t="s">
        <v>118</v>
      </c>
      <c r="C162" s="8" t="s">
        <v>297</v>
      </c>
      <c r="D162" s="9" t="s">
        <v>522</v>
      </c>
      <c r="E162" s="8" t="s">
        <v>345</v>
      </c>
      <c r="F162" s="8" t="s">
        <v>304</v>
      </c>
      <c r="G162" s="9" t="s">
        <v>524</v>
      </c>
      <c r="H162" s="21" t="n">
        <v>4</v>
      </c>
      <c r="I162" s="8" t="s">
        <v>288</v>
      </c>
      <c r="J162" s="8" t="s">
        <v>300</v>
      </c>
      <c r="K162" s="21" t="n">
        <v>15</v>
      </c>
      <c r="L162" s="21" t="n">
        <v>18</v>
      </c>
      <c r="M162" s="10" t="n">
        <v>8000000</v>
      </c>
      <c r="N162" s="10" t="n">
        <v>0</v>
      </c>
      <c r="O162" s="11" t="n">
        <f aca="false">ROUND((M162+N162)*0.18,0)</f>
        <v>1440000</v>
      </c>
      <c r="P162" s="11" t="n">
        <f aca="false">M162+N162+O162</f>
        <v>9440000</v>
      </c>
      <c r="Q162" s="9"/>
      <c r="R162" s="8" t="s">
        <v>284</v>
      </c>
      <c r="S162" s="8" t="s">
        <v>285</v>
      </c>
    </row>
    <row r="163" customFormat="false" ht="15" hidden="false" customHeight="false" outlineLevel="0" collapsed="false">
      <c r="B163" s="8" t="s">
        <v>118</v>
      </c>
      <c r="C163" s="8" t="s">
        <v>297</v>
      </c>
      <c r="D163" s="9" t="s">
        <v>522</v>
      </c>
      <c r="E163" s="8" t="s">
        <v>345</v>
      </c>
      <c r="F163" s="8" t="s">
        <v>307</v>
      </c>
      <c r="G163" s="9" t="s">
        <v>525</v>
      </c>
      <c r="H163" s="21" t="n">
        <v>3</v>
      </c>
      <c r="I163" s="8" t="s">
        <v>384</v>
      </c>
      <c r="J163" s="8" t="s">
        <v>304</v>
      </c>
      <c r="K163" s="21" t="n">
        <v>15</v>
      </c>
      <c r="L163" s="21" t="n">
        <v>17</v>
      </c>
      <c r="M163" s="10" t="n">
        <v>4000000</v>
      </c>
      <c r="N163" s="10" t="n">
        <v>0</v>
      </c>
      <c r="O163" s="11" t="n">
        <f aca="false">ROUND((M163+N163)*0.18,0)</f>
        <v>720000</v>
      </c>
      <c r="P163" s="11" t="n">
        <f aca="false">M163+N163+O163</f>
        <v>4720000</v>
      </c>
      <c r="Q163" s="9"/>
      <c r="R163" s="8" t="s">
        <v>284</v>
      </c>
      <c r="S163" s="8" t="s">
        <v>285</v>
      </c>
    </row>
    <row r="164" customFormat="false" ht="15" hidden="false" customHeight="false" outlineLevel="0" collapsed="false">
      <c r="B164" s="8" t="s">
        <v>118</v>
      </c>
      <c r="C164" s="8" t="s">
        <v>297</v>
      </c>
      <c r="D164" s="9" t="s">
        <v>522</v>
      </c>
      <c r="E164" s="8" t="s">
        <v>345</v>
      </c>
      <c r="F164" s="8" t="s">
        <v>445</v>
      </c>
      <c r="G164" s="9" t="s">
        <v>526</v>
      </c>
      <c r="H164" s="21" t="n">
        <v>4</v>
      </c>
      <c r="I164" s="8" t="s">
        <v>384</v>
      </c>
      <c r="J164" s="8" t="s">
        <v>304</v>
      </c>
      <c r="K164" s="21" t="n">
        <v>15</v>
      </c>
      <c r="L164" s="21" t="n">
        <v>18</v>
      </c>
      <c r="M164" s="10" t="n">
        <v>5000000</v>
      </c>
      <c r="N164" s="10" t="n">
        <v>0</v>
      </c>
      <c r="O164" s="11" t="n">
        <f aca="false">ROUND((M164+N164)*0.18,0)</f>
        <v>900000</v>
      </c>
      <c r="P164" s="11" t="n">
        <f aca="false">M164+N164+O164</f>
        <v>5900000</v>
      </c>
      <c r="Q164" s="9"/>
      <c r="R164" s="8" t="s">
        <v>284</v>
      </c>
      <c r="S164" s="8" t="s">
        <v>285</v>
      </c>
    </row>
    <row r="165" customFormat="false" ht="15" hidden="false" customHeight="false" outlineLevel="0" collapsed="false">
      <c r="B165" s="8" t="s">
        <v>118</v>
      </c>
      <c r="C165" s="8" t="s">
        <v>297</v>
      </c>
      <c r="D165" s="9" t="s">
        <v>522</v>
      </c>
      <c r="E165" s="8" t="s">
        <v>345</v>
      </c>
      <c r="F165" s="8" t="s">
        <v>486</v>
      </c>
      <c r="G165" s="9" t="s">
        <v>527</v>
      </c>
      <c r="H165" s="21" t="n">
        <v>2</v>
      </c>
      <c r="I165" s="8" t="s">
        <v>288</v>
      </c>
      <c r="J165" s="8" t="s">
        <v>304</v>
      </c>
      <c r="K165" s="21" t="n">
        <v>19</v>
      </c>
      <c r="L165" s="21" t="n">
        <v>20</v>
      </c>
      <c r="M165" s="10" t="n">
        <v>2000000</v>
      </c>
      <c r="N165" s="10" t="n">
        <v>0</v>
      </c>
      <c r="O165" s="11" t="n">
        <f aca="false">ROUND((M165+N165)*0.18,0)</f>
        <v>360000</v>
      </c>
      <c r="P165" s="11" t="n">
        <f aca="false">M165+N165+O165</f>
        <v>2360000</v>
      </c>
      <c r="Q165" s="9"/>
      <c r="R165" s="8" t="s">
        <v>284</v>
      </c>
      <c r="S165" s="8" t="s">
        <v>285</v>
      </c>
    </row>
    <row r="166" customFormat="false" ht="15" hidden="false" customHeight="false" outlineLevel="0" collapsed="false">
      <c r="B166" s="8" t="s">
        <v>118</v>
      </c>
      <c r="C166" s="8" t="s">
        <v>310</v>
      </c>
      <c r="D166" s="9" t="s">
        <v>528</v>
      </c>
      <c r="E166" s="8" t="s">
        <v>454</v>
      </c>
      <c r="F166" s="8" t="s">
        <v>312</v>
      </c>
      <c r="G166" s="9" t="s">
        <v>529</v>
      </c>
      <c r="H166" s="21" t="n">
        <v>26</v>
      </c>
      <c r="I166" s="8" t="s">
        <v>288</v>
      </c>
      <c r="J166" s="8" t="s">
        <v>290</v>
      </c>
      <c r="K166" s="21" t="n">
        <v>11</v>
      </c>
      <c r="L166" s="21" t="n">
        <v>36</v>
      </c>
      <c r="M166" s="10" t="n">
        <v>52788140</v>
      </c>
      <c r="N166" s="10" t="n">
        <v>0</v>
      </c>
      <c r="O166" s="11" t="n">
        <f aca="false">ROUND((M166+N166)*0.18,0)</f>
        <v>9501865</v>
      </c>
      <c r="P166" s="11" t="n">
        <f aca="false">M166+N166+O166</f>
        <v>62290005</v>
      </c>
      <c r="Q166" s="9"/>
      <c r="R166" s="8" t="s">
        <v>284</v>
      </c>
      <c r="S166" s="8" t="s">
        <v>285</v>
      </c>
    </row>
    <row r="167" customFormat="false" ht="15" hidden="false" customHeight="false" outlineLevel="0" collapsed="false">
      <c r="B167" s="8" t="s">
        <v>118</v>
      </c>
      <c r="C167" s="8" t="s">
        <v>310</v>
      </c>
      <c r="D167" s="9" t="s">
        <v>528</v>
      </c>
      <c r="E167" s="8" t="s">
        <v>454</v>
      </c>
      <c r="F167" s="8" t="s">
        <v>315</v>
      </c>
      <c r="G167" s="9" t="s">
        <v>530</v>
      </c>
      <c r="H167" s="21" t="n">
        <v>3</v>
      </c>
      <c r="I167" s="8" t="s">
        <v>288</v>
      </c>
      <c r="J167" s="8" t="s">
        <v>312</v>
      </c>
      <c r="K167" s="21" t="n">
        <v>37</v>
      </c>
      <c r="L167" s="21" t="n">
        <v>39</v>
      </c>
      <c r="M167" s="10" t="n">
        <v>1590577</v>
      </c>
      <c r="N167" s="10" t="n">
        <v>0</v>
      </c>
      <c r="O167" s="11" t="n">
        <f aca="false">ROUND((M167+N167)*0.18,0)</f>
        <v>286304</v>
      </c>
      <c r="P167" s="11" t="n">
        <f aca="false">M167+N167+O167</f>
        <v>1876881</v>
      </c>
      <c r="Q167" s="9"/>
      <c r="R167" s="8" t="s">
        <v>284</v>
      </c>
      <c r="S167" s="8" t="s">
        <v>285</v>
      </c>
    </row>
    <row r="168" customFormat="false" ht="15" hidden="false" customHeight="false" outlineLevel="0" collapsed="false">
      <c r="B168" s="8" t="s">
        <v>118</v>
      </c>
      <c r="C168" s="8" t="s">
        <v>310</v>
      </c>
      <c r="D168" s="9" t="s">
        <v>528</v>
      </c>
      <c r="E168" s="8" t="s">
        <v>454</v>
      </c>
      <c r="F168" s="8" t="s">
        <v>318</v>
      </c>
      <c r="G168" s="9" t="s">
        <v>531</v>
      </c>
      <c r="H168" s="21" t="n">
        <v>2</v>
      </c>
      <c r="I168" s="8" t="s">
        <v>288</v>
      </c>
      <c r="J168" s="8" t="s">
        <v>315</v>
      </c>
      <c r="K168" s="21" t="n">
        <v>40</v>
      </c>
      <c r="L168" s="21" t="n">
        <v>41</v>
      </c>
      <c r="M168" s="10" t="n">
        <v>0</v>
      </c>
      <c r="N168" s="10" t="n">
        <v>0</v>
      </c>
      <c r="O168" s="11" t="n">
        <f aca="false">ROUND((M168+N168)*0.18,0)</f>
        <v>0</v>
      </c>
      <c r="P168" s="11" t="n">
        <f aca="false">M168+N168+O168</f>
        <v>0</v>
      </c>
      <c r="Q168" s="9"/>
      <c r="R168" s="8" t="s">
        <v>284</v>
      </c>
      <c r="S168" s="8" t="s">
        <v>285</v>
      </c>
    </row>
    <row r="169" customFormat="false" ht="15" hidden="false" customHeight="false" outlineLevel="0" collapsed="false">
      <c r="B169" s="8" t="s">
        <v>118</v>
      </c>
      <c r="C169" s="8" t="s">
        <v>310</v>
      </c>
      <c r="D169" s="9" t="s">
        <v>528</v>
      </c>
      <c r="E169" s="8" t="s">
        <v>454</v>
      </c>
      <c r="F169" s="8" t="s">
        <v>451</v>
      </c>
      <c r="G169" s="9" t="s">
        <v>532</v>
      </c>
      <c r="H169" s="21" t="n">
        <v>2</v>
      </c>
      <c r="I169" s="8" t="s">
        <v>288</v>
      </c>
      <c r="J169" s="8" t="s">
        <v>318</v>
      </c>
      <c r="K169" s="21" t="n">
        <v>42</v>
      </c>
      <c r="L169" s="21" t="n">
        <v>43</v>
      </c>
      <c r="M169" s="10" t="n">
        <v>0</v>
      </c>
      <c r="N169" s="10" t="n">
        <v>0</v>
      </c>
      <c r="O169" s="11" t="n">
        <f aca="false">ROUND((M169+N169)*0.18,0)</f>
        <v>0</v>
      </c>
      <c r="P169" s="11" t="n">
        <f aca="false">M169+N169+O169</f>
        <v>0</v>
      </c>
      <c r="Q169" s="9"/>
      <c r="R169" s="8" t="s">
        <v>284</v>
      </c>
      <c r="S169" s="8" t="s">
        <v>285</v>
      </c>
    </row>
    <row r="170" customFormat="false" ht="15" hidden="false" customHeight="false" outlineLevel="0" collapsed="false">
      <c r="B170" s="8" t="s">
        <v>118</v>
      </c>
      <c r="C170" s="8" t="s">
        <v>310</v>
      </c>
      <c r="D170" s="9" t="s">
        <v>528</v>
      </c>
      <c r="E170" s="8" t="s">
        <v>454</v>
      </c>
      <c r="F170" s="8" t="s">
        <v>533</v>
      </c>
      <c r="G170" s="9" t="s">
        <v>534</v>
      </c>
      <c r="H170" s="21" t="n">
        <v>1</v>
      </c>
      <c r="I170" s="8" t="s">
        <v>288</v>
      </c>
      <c r="J170" s="8" t="s">
        <v>451</v>
      </c>
      <c r="K170" s="21" t="n">
        <v>44</v>
      </c>
      <c r="L170" s="21" t="n">
        <v>44</v>
      </c>
      <c r="M170" s="10" t="n">
        <v>0</v>
      </c>
      <c r="N170" s="10" t="n">
        <v>0</v>
      </c>
      <c r="O170" s="11" t="n">
        <f aca="false">ROUND((M170+N170)*0.18,0)</f>
        <v>0</v>
      </c>
      <c r="P170" s="11" t="n">
        <f aca="false">M170+N170+O170</f>
        <v>0</v>
      </c>
      <c r="Q170" s="9"/>
      <c r="R170" s="8" t="s">
        <v>284</v>
      </c>
      <c r="S170" s="8" t="s">
        <v>285</v>
      </c>
    </row>
    <row r="171" customFormat="false" ht="15" hidden="false" customHeight="false" outlineLevel="0" collapsed="false">
      <c r="B171" s="8" t="s">
        <v>118</v>
      </c>
      <c r="C171" s="8" t="s">
        <v>320</v>
      </c>
      <c r="D171" s="9" t="s">
        <v>535</v>
      </c>
      <c r="E171" s="8" t="s">
        <v>454</v>
      </c>
      <c r="F171" s="8" t="s">
        <v>323</v>
      </c>
      <c r="G171" s="9" t="s">
        <v>529</v>
      </c>
      <c r="H171" s="21" t="n">
        <v>26</v>
      </c>
      <c r="I171" s="8" t="s">
        <v>288</v>
      </c>
      <c r="J171" s="8" t="s">
        <v>290</v>
      </c>
      <c r="K171" s="21" t="n">
        <v>11</v>
      </c>
      <c r="L171" s="21" t="n">
        <v>36</v>
      </c>
      <c r="M171" s="10" t="n">
        <v>74565912</v>
      </c>
      <c r="N171" s="10" t="n">
        <v>0</v>
      </c>
      <c r="O171" s="11" t="n">
        <f aca="false">ROUND((M171+N171)*0.18,0)</f>
        <v>13421864</v>
      </c>
      <c r="P171" s="11" t="n">
        <f aca="false">M171+N171+O171</f>
        <v>87987776</v>
      </c>
      <c r="Q171" s="9"/>
      <c r="R171" s="8" t="s">
        <v>284</v>
      </c>
      <c r="S171" s="8" t="s">
        <v>285</v>
      </c>
    </row>
    <row r="172" customFormat="false" ht="15" hidden="false" customHeight="false" outlineLevel="0" collapsed="false">
      <c r="B172" s="8" t="s">
        <v>118</v>
      </c>
      <c r="C172" s="8" t="s">
        <v>320</v>
      </c>
      <c r="D172" s="9" t="s">
        <v>535</v>
      </c>
      <c r="E172" s="8" t="s">
        <v>454</v>
      </c>
      <c r="F172" s="8" t="s">
        <v>326</v>
      </c>
      <c r="G172" s="9" t="s">
        <v>530</v>
      </c>
      <c r="H172" s="21" t="n">
        <v>3</v>
      </c>
      <c r="I172" s="8" t="s">
        <v>288</v>
      </c>
      <c r="J172" s="8" t="s">
        <v>323</v>
      </c>
      <c r="K172" s="21" t="n">
        <v>37</v>
      </c>
      <c r="L172" s="21" t="n">
        <v>39</v>
      </c>
      <c r="M172" s="10" t="n">
        <v>2246771</v>
      </c>
      <c r="N172" s="10" t="n">
        <v>0</v>
      </c>
      <c r="O172" s="11" t="n">
        <f aca="false">ROUND((M172+N172)*0.18,0)</f>
        <v>404419</v>
      </c>
      <c r="P172" s="11" t="n">
        <f aca="false">M172+N172+O172</f>
        <v>2651190</v>
      </c>
      <c r="Q172" s="9"/>
      <c r="R172" s="8" t="s">
        <v>284</v>
      </c>
      <c r="S172" s="8" t="s">
        <v>285</v>
      </c>
    </row>
    <row r="173" customFormat="false" ht="15" hidden="false" customHeight="false" outlineLevel="0" collapsed="false">
      <c r="B173" s="8" t="s">
        <v>118</v>
      </c>
      <c r="C173" s="8" t="s">
        <v>320</v>
      </c>
      <c r="D173" s="9" t="s">
        <v>535</v>
      </c>
      <c r="E173" s="8" t="s">
        <v>454</v>
      </c>
      <c r="F173" s="8" t="s">
        <v>329</v>
      </c>
      <c r="G173" s="9" t="s">
        <v>531</v>
      </c>
      <c r="H173" s="21" t="n">
        <v>2</v>
      </c>
      <c r="I173" s="8" t="s">
        <v>288</v>
      </c>
      <c r="J173" s="8" t="s">
        <v>326</v>
      </c>
      <c r="K173" s="21" t="n">
        <v>40</v>
      </c>
      <c r="L173" s="21" t="n">
        <v>41</v>
      </c>
      <c r="M173" s="10" t="n">
        <v>0</v>
      </c>
      <c r="N173" s="10" t="n">
        <v>0</v>
      </c>
      <c r="O173" s="11" t="n">
        <f aca="false">ROUND((M173+N173)*0.18,0)</f>
        <v>0</v>
      </c>
      <c r="P173" s="11" t="n">
        <f aca="false">M173+N173+O173</f>
        <v>0</v>
      </c>
      <c r="Q173" s="9"/>
      <c r="R173" s="8" t="s">
        <v>284</v>
      </c>
      <c r="S173" s="8" t="s">
        <v>285</v>
      </c>
    </row>
    <row r="174" customFormat="false" ht="15" hidden="false" customHeight="false" outlineLevel="0" collapsed="false">
      <c r="B174" s="8" t="s">
        <v>118</v>
      </c>
      <c r="C174" s="8" t="s">
        <v>320</v>
      </c>
      <c r="D174" s="9" t="s">
        <v>535</v>
      </c>
      <c r="E174" s="8" t="s">
        <v>454</v>
      </c>
      <c r="F174" s="8" t="s">
        <v>332</v>
      </c>
      <c r="G174" s="9" t="s">
        <v>536</v>
      </c>
      <c r="H174" s="21" t="n">
        <v>3</v>
      </c>
      <c r="I174" s="8" t="s">
        <v>288</v>
      </c>
      <c r="J174" s="8" t="s">
        <v>329</v>
      </c>
      <c r="K174" s="21" t="n">
        <v>42</v>
      </c>
      <c r="L174" s="21" t="n">
        <v>44</v>
      </c>
      <c r="M174" s="10" t="n">
        <v>0</v>
      </c>
      <c r="N174" s="10" t="n">
        <v>0</v>
      </c>
      <c r="O174" s="11" t="n">
        <f aca="false">ROUND((M174+N174)*0.18,0)</f>
        <v>0</v>
      </c>
      <c r="P174" s="11" t="n">
        <f aca="false">M174+N174+O174</f>
        <v>0</v>
      </c>
      <c r="Q174" s="9"/>
      <c r="R174" s="8" t="s">
        <v>284</v>
      </c>
      <c r="S174" s="8" t="s">
        <v>285</v>
      </c>
    </row>
    <row r="175" customFormat="false" ht="15" hidden="false" customHeight="false" outlineLevel="0" collapsed="false">
      <c r="B175" s="8" t="s">
        <v>118</v>
      </c>
      <c r="C175" s="8" t="s">
        <v>320</v>
      </c>
      <c r="D175" s="9" t="s">
        <v>535</v>
      </c>
      <c r="E175" s="8" t="s">
        <v>454</v>
      </c>
      <c r="F175" s="8" t="s">
        <v>458</v>
      </c>
      <c r="G175" s="9" t="s">
        <v>537</v>
      </c>
      <c r="H175" s="21" t="n">
        <v>2</v>
      </c>
      <c r="I175" s="8" t="s">
        <v>288</v>
      </c>
      <c r="J175" s="8" t="s">
        <v>332</v>
      </c>
      <c r="K175" s="21" t="n">
        <v>45</v>
      </c>
      <c r="L175" s="21" t="n">
        <v>46</v>
      </c>
      <c r="M175" s="10" t="n">
        <v>0</v>
      </c>
      <c r="N175" s="10" t="n">
        <v>0</v>
      </c>
      <c r="O175" s="11" t="n">
        <f aca="false">ROUND((M175+N175)*0.18,0)</f>
        <v>0</v>
      </c>
      <c r="P175" s="11" t="n">
        <f aca="false">M175+N175+O175</f>
        <v>0</v>
      </c>
      <c r="Q175" s="9"/>
      <c r="R175" s="8" t="s">
        <v>284</v>
      </c>
      <c r="S175" s="8" t="s">
        <v>285</v>
      </c>
    </row>
    <row r="176" customFormat="false" ht="15" hidden="false" customHeight="false" outlineLevel="0" collapsed="false">
      <c r="B176" s="8" t="s">
        <v>118</v>
      </c>
      <c r="C176" s="8" t="s">
        <v>335</v>
      </c>
      <c r="D176" s="9" t="s">
        <v>538</v>
      </c>
      <c r="E176" s="8" t="s">
        <v>454</v>
      </c>
      <c r="F176" s="8" t="s">
        <v>337</v>
      </c>
      <c r="G176" s="9" t="s">
        <v>539</v>
      </c>
      <c r="H176" s="21" t="n">
        <v>30</v>
      </c>
      <c r="I176" s="8" t="s">
        <v>288</v>
      </c>
      <c r="J176" s="8" t="s">
        <v>294</v>
      </c>
      <c r="K176" s="21" t="n">
        <v>11</v>
      </c>
      <c r="L176" s="21" t="n">
        <v>40</v>
      </c>
      <c r="M176" s="10" t="n">
        <v>40993410</v>
      </c>
      <c r="N176" s="10" t="n">
        <v>0</v>
      </c>
      <c r="O176" s="11" t="n">
        <f aca="false">ROUND((M176+N176)*0.18,0)</f>
        <v>7378814</v>
      </c>
      <c r="P176" s="11" t="n">
        <f aca="false">M176+N176+O176</f>
        <v>48372224</v>
      </c>
      <c r="Q176" s="9"/>
      <c r="R176" s="8" t="s">
        <v>284</v>
      </c>
      <c r="S176" s="8" t="s">
        <v>285</v>
      </c>
    </row>
    <row r="177" customFormat="false" ht="15" hidden="false" customHeight="false" outlineLevel="0" collapsed="false">
      <c r="B177" s="8" t="s">
        <v>118</v>
      </c>
      <c r="C177" s="8" t="s">
        <v>335</v>
      </c>
      <c r="D177" s="9" t="s">
        <v>538</v>
      </c>
      <c r="E177" s="8" t="s">
        <v>454</v>
      </c>
      <c r="F177" s="8" t="s">
        <v>340</v>
      </c>
      <c r="G177" s="9" t="s">
        <v>540</v>
      </c>
      <c r="H177" s="21" t="n">
        <v>3</v>
      </c>
      <c r="I177" s="8" t="s">
        <v>288</v>
      </c>
      <c r="J177" s="8" t="s">
        <v>337</v>
      </c>
      <c r="K177" s="21" t="n">
        <v>41</v>
      </c>
      <c r="L177" s="21" t="n">
        <v>43</v>
      </c>
      <c r="M177" s="10" t="n">
        <v>2951806</v>
      </c>
      <c r="N177" s="10" t="n">
        <v>0</v>
      </c>
      <c r="O177" s="11" t="n">
        <f aca="false">ROUND((M177+N177)*0.18,0)</f>
        <v>531325</v>
      </c>
      <c r="P177" s="11" t="n">
        <f aca="false">M177+N177+O177</f>
        <v>3483131</v>
      </c>
      <c r="Q177" s="9"/>
      <c r="R177" s="8" t="s">
        <v>284</v>
      </c>
      <c r="S177" s="8" t="s">
        <v>285</v>
      </c>
    </row>
    <row r="178" customFormat="false" ht="15" hidden="false" customHeight="false" outlineLevel="0" collapsed="false">
      <c r="B178" s="8" t="s">
        <v>118</v>
      </c>
      <c r="C178" s="8" t="s">
        <v>335</v>
      </c>
      <c r="D178" s="9" t="s">
        <v>538</v>
      </c>
      <c r="E178" s="8" t="s">
        <v>454</v>
      </c>
      <c r="F178" s="8" t="s">
        <v>341</v>
      </c>
      <c r="G178" s="9" t="s">
        <v>531</v>
      </c>
      <c r="H178" s="21" t="n">
        <v>2</v>
      </c>
      <c r="I178" s="8" t="s">
        <v>288</v>
      </c>
      <c r="J178" s="8" t="s">
        <v>340</v>
      </c>
      <c r="K178" s="21" t="n">
        <v>44</v>
      </c>
      <c r="L178" s="21" t="n">
        <v>45</v>
      </c>
      <c r="M178" s="10" t="n">
        <v>0</v>
      </c>
      <c r="N178" s="10" t="n">
        <v>0</v>
      </c>
      <c r="O178" s="11" t="n">
        <f aca="false">ROUND((M178+N178)*0.18,0)</f>
        <v>0</v>
      </c>
      <c r="P178" s="11" t="n">
        <f aca="false">M178+N178+O178</f>
        <v>0</v>
      </c>
      <c r="Q178" s="9"/>
      <c r="R178" s="8" t="s">
        <v>284</v>
      </c>
      <c r="S178" s="8" t="s">
        <v>285</v>
      </c>
    </row>
    <row r="179" customFormat="false" ht="15" hidden="false" customHeight="false" outlineLevel="0" collapsed="false">
      <c r="B179" s="8" t="s">
        <v>118</v>
      </c>
      <c r="C179" s="8" t="s">
        <v>335</v>
      </c>
      <c r="D179" s="9" t="s">
        <v>538</v>
      </c>
      <c r="E179" s="8" t="s">
        <v>454</v>
      </c>
      <c r="F179" s="8" t="s">
        <v>461</v>
      </c>
      <c r="G179" s="9" t="s">
        <v>541</v>
      </c>
      <c r="H179" s="21" t="n">
        <v>2</v>
      </c>
      <c r="I179" s="8" t="s">
        <v>288</v>
      </c>
      <c r="J179" s="8" t="s">
        <v>341</v>
      </c>
      <c r="K179" s="21" t="n">
        <v>46</v>
      </c>
      <c r="L179" s="21" t="n">
        <v>47</v>
      </c>
      <c r="M179" s="10" t="n">
        <v>798109</v>
      </c>
      <c r="N179" s="10" t="n">
        <v>0</v>
      </c>
      <c r="O179" s="11" t="n">
        <f aca="false">ROUND((M179+N179)*0.18,0)</f>
        <v>143660</v>
      </c>
      <c r="P179" s="11" t="n">
        <f aca="false">M179+N179+O179</f>
        <v>941769</v>
      </c>
      <c r="Q179" s="9"/>
      <c r="R179" s="8" t="s">
        <v>284</v>
      </c>
      <c r="S179" s="8" t="s">
        <v>285</v>
      </c>
    </row>
    <row r="180" customFormat="false" ht="15" hidden="false" customHeight="false" outlineLevel="0" collapsed="false">
      <c r="B180" s="8" t="s">
        <v>118</v>
      </c>
      <c r="C180" s="8" t="s">
        <v>335</v>
      </c>
      <c r="D180" s="9" t="s">
        <v>538</v>
      </c>
      <c r="E180" s="8" t="s">
        <v>454</v>
      </c>
      <c r="F180" s="8" t="s">
        <v>463</v>
      </c>
      <c r="G180" s="9" t="s">
        <v>542</v>
      </c>
      <c r="H180" s="21" t="n">
        <v>2</v>
      </c>
      <c r="I180" s="8" t="s">
        <v>384</v>
      </c>
      <c r="J180" s="8" t="s">
        <v>461</v>
      </c>
      <c r="K180" s="21" t="n">
        <v>46</v>
      </c>
      <c r="L180" s="21" t="n">
        <v>47</v>
      </c>
      <c r="M180" s="10" t="n">
        <v>3000000</v>
      </c>
      <c r="N180" s="10" t="n">
        <v>0</v>
      </c>
      <c r="O180" s="11" t="n">
        <f aca="false">ROUND((M180+N180)*0.18,0)</f>
        <v>540000</v>
      </c>
      <c r="P180" s="11" t="n">
        <f aca="false">M180+N180+O180</f>
        <v>3540000</v>
      </c>
      <c r="Q180" s="9"/>
      <c r="R180" s="8" t="s">
        <v>284</v>
      </c>
      <c r="S180" s="8" t="s">
        <v>285</v>
      </c>
    </row>
    <row r="181" customFormat="false" ht="15" hidden="false" customHeight="false" outlineLevel="0" collapsed="false">
      <c r="B181" s="8" t="s">
        <v>118</v>
      </c>
      <c r="C181" s="8" t="s">
        <v>335</v>
      </c>
      <c r="D181" s="9" t="s">
        <v>538</v>
      </c>
      <c r="E181" s="8" t="s">
        <v>454</v>
      </c>
      <c r="F181" s="8" t="s">
        <v>465</v>
      </c>
      <c r="G181" s="9" t="s">
        <v>543</v>
      </c>
      <c r="H181" s="21" t="n">
        <v>2</v>
      </c>
      <c r="I181" s="8" t="s">
        <v>384</v>
      </c>
      <c r="J181" s="8" t="s">
        <v>461</v>
      </c>
      <c r="K181" s="21" t="n">
        <v>46</v>
      </c>
      <c r="L181" s="21" t="n">
        <v>47</v>
      </c>
      <c r="M181" s="10" t="n">
        <v>4000000</v>
      </c>
      <c r="N181" s="10" t="n">
        <v>0</v>
      </c>
      <c r="O181" s="11" t="n">
        <f aca="false">ROUND((M181+N181)*0.18,0)</f>
        <v>720000</v>
      </c>
      <c r="P181" s="11" t="n">
        <f aca="false">M181+N181+O181</f>
        <v>4720000</v>
      </c>
      <c r="Q181" s="9"/>
      <c r="R181" s="8" t="s">
        <v>284</v>
      </c>
      <c r="S181" s="8" t="s">
        <v>285</v>
      </c>
    </row>
    <row r="182" customFormat="false" ht="15" hidden="false" customHeight="false" outlineLevel="0" collapsed="false">
      <c r="B182" s="8" t="s">
        <v>118</v>
      </c>
      <c r="C182" s="8" t="s">
        <v>335</v>
      </c>
      <c r="D182" s="9" t="s">
        <v>538</v>
      </c>
      <c r="E182" s="8" t="s">
        <v>454</v>
      </c>
      <c r="F182" s="8" t="s">
        <v>544</v>
      </c>
      <c r="G182" s="9" t="s">
        <v>545</v>
      </c>
      <c r="H182" s="21" t="n">
        <v>2</v>
      </c>
      <c r="I182" s="8" t="s">
        <v>288</v>
      </c>
      <c r="J182" s="8" t="s">
        <v>461</v>
      </c>
      <c r="K182" s="21" t="n">
        <v>48</v>
      </c>
      <c r="L182" s="21" t="n">
        <v>49</v>
      </c>
      <c r="M182" s="10" t="n">
        <v>0</v>
      </c>
      <c r="N182" s="10" t="n">
        <v>0</v>
      </c>
      <c r="O182" s="11" t="n">
        <f aca="false">ROUND((M182+N182)*0.18,0)</f>
        <v>0</v>
      </c>
      <c r="P182" s="11" t="n">
        <f aca="false">M182+N182+O182</f>
        <v>0</v>
      </c>
      <c r="Q182" s="9"/>
      <c r="R182" s="8" t="s">
        <v>284</v>
      </c>
      <c r="S182" s="8" t="s">
        <v>285</v>
      </c>
    </row>
    <row r="183" customFormat="false" ht="15" hidden="false" customHeight="false" outlineLevel="0" collapsed="false">
      <c r="B183" s="8" t="s">
        <v>118</v>
      </c>
      <c r="C183" s="8" t="s">
        <v>343</v>
      </c>
      <c r="D183" s="9" t="s">
        <v>546</v>
      </c>
      <c r="E183" s="8" t="s">
        <v>547</v>
      </c>
      <c r="F183" s="8" t="s">
        <v>346</v>
      </c>
      <c r="G183" s="9" t="s">
        <v>548</v>
      </c>
      <c r="H183" s="21" t="n">
        <v>3</v>
      </c>
      <c r="I183" s="8" t="s">
        <v>288</v>
      </c>
      <c r="J183" s="8" t="s">
        <v>544</v>
      </c>
      <c r="K183" s="21" t="n">
        <v>50</v>
      </c>
      <c r="L183" s="21" t="n">
        <v>52</v>
      </c>
      <c r="M183" s="10" t="n">
        <v>0</v>
      </c>
      <c r="N183" s="10" t="n">
        <v>0</v>
      </c>
      <c r="O183" s="11" t="n">
        <f aca="false">ROUND((M183+N183)*0.18,0)</f>
        <v>0</v>
      </c>
      <c r="P183" s="11" t="n">
        <f aca="false">M183+N183+O183</f>
        <v>0</v>
      </c>
      <c r="Q183" s="9"/>
      <c r="R183" s="8" t="s">
        <v>284</v>
      </c>
      <c r="S183" s="8" t="s">
        <v>285</v>
      </c>
    </row>
    <row r="184" customFormat="false" ht="15" hidden="false" customHeight="false" outlineLevel="0" collapsed="false">
      <c r="B184" s="8" t="s">
        <v>118</v>
      </c>
      <c r="C184" s="8" t="s">
        <v>343</v>
      </c>
      <c r="D184" s="9" t="s">
        <v>546</v>
      </c>
      <c r="E184" s="8" t="s">
        <v>547</v>
      </c>
      <c r="F184" s="8" t="s">
        <v>348</v>
      </c>
      <c r="G184" s="9" t="s">
        <v>549</v>
      </c>
      <c r="H184" s="21" t="n">
        <v>2</v>
      </c>
      <c r="I184" s="8" t="s">
        <v>288</v>
      </c>
      <c r="J184" s="8" t="s">
        <v>346</v>
      </c>
      <c r="K184" s="21" t="n">
        <v>53</v>
      </c>
      <c r="L184" s="21" t="n">
        <v>54</v>
      </c>
      <c r="M184" s="10" t="n">
        <v>0</v>
      </c>
      <c r="N184" s="10" t="n">
        <v>0</v>
      </c>
      <c r="O184" s="11" t="n">
        <f aca="false">ROUND((M184+N184)*0.18,0)</f>
        <v>0</v>
      </c>
      <c r="P184" s="11" t="n">
        <f aca="false">M184+N184+O184</f>
        <v>0</v>
      </c>
      <c r="Q184" s="9"/>
      <c r="R184" s="8" t="s">
        <v>284</v>
      </c>
      <c r="S184" s="8" t="s">
        <v>285</v>
      </c>
    </row>
    <row r="185" customFormat="false" ht="15" hidden="false" customHeight="false" outlineLevel="0" collapsed="false">
      <c r="B185" s="8" t="s">
        <v>118</v>
      </c>
      <c r="C185" s="8" t="s">
        <v>343</v>
      </c>
      <c r="D185" s="9" t="s">
        <v>546</v>
      </c>
      <c r="E185" s="8" t="s">
        <v>547</v>
      </c>
      <c r="F185" s="8" t="s">
        <v>403</v>
      </c>
      <c r="G185" s="9" t="s">
        <v>550</v>
      </c>
      <c r="H185" s="21" t="n">
        <v>2</v>
      </c>
      <c r="I185" s="8" t="s">
        <v>288</v>
      </c>
      <c r="J185" s="8" t="s">
        <v>348</v>
      </c>
      <c r="K185" s="21" t="n">
        <v>55</v>
      </c>
      <c r="L185" s="21" t="n">
        <v>56</v>
      </c>
      <c r="M185" s="10" t="n">
        <v>0</v>
      </c>
      <c r="N185" s="10" t="n">
        <v>0</v>
      </c>
      <c r="O185" s="11" t="n">
        <f aca="false">ROUND((M185+N185)*0.18,0)</f>
        <v>0</v>
      </c>
      <c r="P185" s="11" t="n">
        <f aca="false">M185+N185+O185</f>
        <v>0</v>
      </c>
      <c r="Q185" s="9"/>
      <c r="R185" s="8" t="s">
        <v>284</v>
      </c>
      <c r="S185" s="8" t="s">
        <v>285</v>
      </c>
    </row>
    <row r="186" customFormat="false" ht="15" hidden="false" customHeight="false" outlineLevel="0" collapsed="false">
      <c r="B186" s="8" t="s">
        <v>118</v>
      </c>
      <c r="C186" s="8" t="s">
        <v>343</v>
      </c>
      <c r="D186" s="9" t="s">
        <v>546</v>
      </c>
      <c r="E186" s="8" t="s">
        <v>547</v>
      </c>
      <c r="F186" s="8" t="s">
        <v>471</v>
      </c>
      <c r="G186" s="9" t="s">
        <v>551</v>
      </c>
      <c r="H186" s="21" t="n">
        <v>2</v>
      </c>
      <c r="I186" s="8" t="s">
        <v>288</v>
      </c>
      <c r="J186" s="8" t="s">
        <v>403</v>
      </c>
      <c r="K186" s="21" t="n">
        <v>57</v>
      </c>
      <c r="L186" s="21" t="n">
        <v>58</v>
      </c>
      <c r="M186" s="10" t="n">
        <v>0</v>
      </c>
      <c r="N186" s="10" t="n">
        <v>0</v>
      </c>
      <c r="O186" s="11" t="n">
        <f aca="false">ROUND((M186+N186)*0.18,0)</f>
        <v>0</v>
      </c>
      <c r="P186" s="11" t="n">
        <f aca="false">M186+N186+O186</f>
        <v>0</v>
      </c>
      <c r="Q186" s="9"/>
      <c r="R186" s="8" t="s">
        <v>284</v>
      </c>
      <c r="S186" s="8" t="s">
        <v>285</v>
      </c>
    </row>
    <row r="187" customFormat="false" ht="15" hidden="false" customHeight="false" outlineLevel="0" collapsed="false">
      <c r="B187" s="8" t="s">
        <v>127</v>
      </c>
      <c r="C187" s="8" t="s">
        <v>279</v>
      </c>
      <c r="D187" s="9" t="s">
        <v>516</v>
      </c>
      <c r="E187" s="8" t="s">
        <v>81</v>
      </c>
      <c r="F187" s="8" t="s">
        <v>281</v>
      </c>
      <c r="G187" s="9" t="s">
        <v>552</v>
      </c>
      <c r="H187" s="21" t="n">
        <v>4</v>
      </c>
      <c r="I187" s="8"/>
      <c r="J187" s="8"/>
      <c r="K187" s="21" t="n">
        <v>1</v>
      </c>
      <c r="L187" s="21" t="n">
        <v>4</v>
      </c>
      <c r="M187" s="10" t="n">
        <v>4000000</v>
      </c>
      <c r="N187" s="10" t="n">
        <v>0</v>
      </c>
      <c r="O187" s="11" t="n">
        <f aca="false">ROUND((M187+N187)*0.18,0)</f>
        <v>720000</v>
      </c>
      <c r="P187" s="11" t="n">
        <f aca="false">M187+N187+O187</f>
        <v>4720000</v>
      </c>
      <c r="Q187" s="9" t="s">
        <v>161</v>
      </c>
      <c r="R187" s="8" t="s">
        <v>284</v>
      </c>
      <c r="S187" s="8" t="s">
        <v>285</v>
      </c>
    </row>
    <row r="188" customFormat="false" ht="15" hidden="false" customHeight="false" outlineLevel="0" collapsed="false">
      <c r="B188" s="8" t="s">
        <v>127</v>
      </c>
      <c r="C188" s="8" t="s">
        <v>279</v>
      </c>
      <c r="D188" s="9" t="s">
        <v>516</v>
      </c>
      <c r="E188" s="8" t="s">
        <v>81</v>
      </c>
      <c r="F188" s="8" t="s">
        <v>286</v>
      </c>
      <c r="G188" s="9" t="s">
        <v>553</v>
      </c>
      <c r="H188" s="21" t="n">
        <v>4</v>
      </c>
      <c r="I188" s="8" t="s">
        <v>288</v>
      </c>
      <c r="J188" s="8" t="s">
        <v>281</v>
      </c>
      <c r="K188" s="21" t="n">
        <v>5</v>
      </c>
      <c r="L188" s="21" t="n">
        <v>8</v>
      </c>
      <c r="M188" s="10" t="n">
        <v>4000000</v>
      </c>
      <c r="N188" s="10" t="n">
        <v>0</v>
      </c>
      <c r="O188" s="11" t="n">
        <f aca="false">ROUND((M188+N188)*0.18,0)</f>
        <v>720000</v>
      </c>
      <c r="P188" s="11" t="n">
        <f aca="false">M188+N188+O188</f>
        <v>4720000</v>
      </c>
      <c r="Q188" s="9" t="s">
        <v>554</v>
      </c>
      <c r="R188" s="8" t="s">
        <v>284</v>
      </c>
      <c r="S188" s="8" t="s">
        <v>285</v>
      </c>
    </row>
    <row r="189" customFormat="false" ht="15" hidden="false" customHeight="false" outlineLevel="0" collapsed="false">
      <c r="B189" s="8" t="s">
        <v>127</v>
      </c>
      <c r="C189" s="8" t="s">
        <v>279</v>
      </c>
      <c r="D189" s="9" t="s">
        <v>516</v>
      </c>
      <c r="E189" s="8" t="s">
        <v>81</v>
      </c>
      <c r="F189" s="8" t="s">
        <v>290</v>
      </c>
      <c r="G189" s="9" t="s">
        <v>555</v>
      </c>
      <c r="H189" s="21" t="n">
        <v>6</v>
      </c>
      <c r="I189" s="8" t="s">
        <v>288</v>
      </c>
      <c r="J189" s="8" t="s">
        <v>286</v>
      </c>
      <c r="K189" s="21" t="n">
        <v>9</v>
      </c>
      <c r="L189" s="21" t="n">
        <v>14</v>
      </c>
      <c r="M189" s="10" t="n">
        <v>3000000</v>
      </c>
      <c r="N189" s="10" t="n">
        <v>0</v>
      </c>
      <c r="O189" s="11" t="n">
        <f aca="false">ROUND((M189+N189)*0.18,0)</f>
        <v>540000</v>
      </c>
      <c r="P189" s="11" t="n">
        <f aca="false">M189+N189+O189</f>
        <v>3540000</v>
      </c>
      <c r="Q189" s="9" t="s">
        <v>161</v>
      </c>
      <c r="R189" s="8" t="s">
        <v>284</v>
      </c>
      <c r="S189" s="8" t="s">
        <v>285</v>
      </c>
    </row>
    <row r="190" customFormat="false" ht="15" hidden="false" customHeight="false" outlineLevel="0" collapsed="false">
      <c r="B190" s="8" t="s">
        <v>127</v>
      </c>
      <c r="C190" s="8" t="s">
        <v>279</v>
      </c>
      <c r="D190" s="9" t="s">
        <v>516</v>
      </c>
      <c r="E190" s="8" t="s">
        <v>81</v>
      </c>
      <c r="F190" s="8" t="s">
        <v>294</v>
      </c>
      <c r="G190" s="9" t="s">
        <v>556</v>
      </c>
      <c r="H190" s="21" t="n">
        <v>4</v>
      </c>
      <c r="I190" s="8" t="s">
        <v>288</v>
      </c>
      <c r="J190" s="8" t="s">
        <v>290</v>
      </c>
      <c r="K190" s="21" t="n">
        <v>15</v>
      </c>
      <c r="L190" s="21" t="n">
        <v>18</v>
      </c>
      <c r="M190" s="10" t="n">
        <v>4000000</v>
      </c>
      <c r="N190" s="10" t="n">
        <v>0</v>
      </c>
      <c r="O190" s="11" t="n">
        <f aca="false">ROUND((M190+N190)*0.18,0)</f>
        <v>720000</v>
      </c>
      <c r="P190" s="11" t="n">
        <f aca="false">M190+N190+O190</f>
        <v>4720000</v>
      </c>
      <c r="Q190" s="9" t="s">
        <v>161</v>
      </c>
      <c r="R190" s="8" t="s">
        <v>284</v>
      </c>
      <c r="S190" s="8" t="s">
        <v>293</v>
      </c>
    </row>
    <row r="191" customFormat="false" ht="15" hidden="false" customHeight="false" outlineLevel="0" collapsed="false">
      <c r="B191" s="8" t="s">
        <v>127</v>
      </c>
      <c r="C191" s="8" t="s">
        <v>279</v>
      </c>
      <c r="D191" s="9" t="s">
        <v>516</v>
      </c>
      <c r="E191" s="8" t="s">
        <v>81</v>
      </c>
      <c r="F191" s="8" t="s">
        <v>376</v>
      </c>
      <c r="G191" s="9" t="s">
        <v>521</v>
      </c>
      <c r="H191" s="21" t="n">
        <v>5</v>
      </c>
      <c r="I191" s="8" t="s">
        <v>288</v>
      </c>
      <c r="J191" s="8" t="s">
        <v>294</v>
      </c>
      <c r="K191" s="21" t="n">
        <v>19</v>
      </c>
      <c r="L191" s="21" t="n">
        <v>23</v>
      </c>
      <c r="M191" s="10" t="n">
        <v>0</v>
      </c>
      <c r="N191" s="10" t="n">
        <v>0</v>
      </c>
      <c r="O191" s="11" t="n">
        <f aca="false">ROUND((M191+N191)*0.18,0)</f>
        <v>0</v>
      </c>
      <c r="P191" s="11" t="n">
        <f aca="false">M191+N191+O191</f>
        <v>0</v>
      </c>
      <c r="Q191" s="9" t="s">
        <v>161</v>
      </c>
      <c r="R191" s="8" t="s">
        <v>284</v>
      </c>
      <c r="S191" s="8" t="s">
        <v>285</v>
      </c>
    </row>
    <row r="192" customFormat="false" ht="15" hidden="false" customHeight="false" outlineLevel="0" collapsed="false">
      <c r="B192" s="8" t="s">
        <v>127</v>
      </c>
      <c r="C192" s="8" t="s">
        <v>297</v>
      </c>
      <c r="D192" s="9" t="s">
        <v>557</v>
      </c>
      <c r="E192" s="8" t="s">
        <v>299</v>
      </c>
      <c r="F192" s="8" t="s">
        <v>300</v>
      </c>
      <c r="G192" s="9" t="s">
        <v>558</v>
      </c>
      <c r="H192" s="21" t="n">
        <v>3</v>
      </c>
      <c r="I192" s="8" t="s">
        <v>288</v>
      </c>
      <c r="J192" s="8" t="s">
        <v>290</v>
      </c>
      <c r="K192" s="21" t="n">
        <v>15</v>
      </c>
      <c r="L192" s="21" t="n">
        <v>17</v>
      </c>
      <c r="M192" s="10" t="n">
        <v>12000000</v>
      </c>
      <c r="N192" s="10" t="n">
        <v>0</v>
      </c>
      <c r="O192" s="11" t="n">
        <f aca="false">ROUND((M192+N192)*0.18,0)</f>
        <v>2160000</v>
      </c>
      <c r="P192" s="11" t="n">
        <f aca="false">M192+N192+O192</f>
        <v>14160000</v>
      </c>
      <c r="Q192" s="9" t="s">
        <v>559</v>
      </c>
      <c r="R192" s="8" t="s">
        <v>284</v>
      </c>
      <c r="S192" s="8" t="s">
        <v>293</v>
      </c>
    </row>
    <row r="193" customFormat="false" ht="22.35" hidden="false" customHeight="false" outlineLevel="0" collapsed="false">
      <c r="B193" s="12" t="s">
        <v>127</v>
      </c>
      <c r="C193" s="12" t="s">
        <v>297</v>
      </c>
      <c r="D193" s="13" t="s">
        <v>557</v>
      </c>
      <c r="E193" s="12" t="s">
        <v>299</v>
      </c>
      <c r="F193" s="12" t="s">
        <v>304</v>
      </c>
      <c r="G193" s="13" t="s">
        <v>560</v>
      </c>
      <c r="H193" s="22" t="n">
        <v>4</v>
      </c>
      <c r="I193" s="12" t="s">
        <v>288</v>
      </c>
      <c r="J193" s="12" t="s">
        <v>300</v>
      </c>
      <c r="K193" s="22" t="n">
        <v>18</v>
      </c>
      <c r="L193" s="22" t="n">
        <v>21</v>
      </c>
      <c r="M193" s="14" t="n">
        <v>23983857</v>
      </c>
      <c r="N193" s="14" t="n">
        <v>0</v>
      </c>
      <c r="O193" s="11" t="n">
        <f aca="false">ROUND((M193+N193)*0.18,0)</f>
        <v>4317094</v>
      </c>
      <c r="P193" s="11" t="n">
        <f aca="false">M193+N193+O193</f>
        <v>28300951</v>
      </c>
      <c r="Q193" s="13" t="s">
        <v>561</v>
      </c>
      <c r="R193" s="12" t="s">
        <v>562</v>
      </c>
      <c r="S193" s="12" t="s">
        <v>563</v>
      </c>
    </row>
    <row r="194" customFormat="false" ht="15" hidden="false" customHeight="false" outlineLevel="0" collapsed="false">
      <c r="B194" s="8" t="s">
        <v>127</v>
      </c>
      <c r="C194" s="8" t="s">
        <v>297</v>
      </c>
      <c r="D194" s="9" t="s">
        <v>557</v>
      </c>
      <c r="E194" s="8" t="s">
        <v>299</v>
      </c>
      <c r="F194" s="8" t="s">
        <v>307</v>
      </c>
      <c r="G194" s="9" t="s">
        <v>564</v>
      </c>
      <c r="H194" s="21" t="n">
        <v>4</v>
      </c>
      <c r="I194" s="8" t="s">
        <v>288</v>
      </c>
      <c r="J194" s="8" t="s">
        <v>304</v>
      </c>
      <c r="K194" s="21" t="n">
        <v>22</v>
      </c>
      <c r="L194" s="21" t="n">
        <v>25</v>
      </c>
      <c r="M194" s="10" t="n">
        <v>0</v>
      </c>
      <c r="N194" s="10" t="n">
        <v>0</v>
      </c>
      <c r="O194" s="11" t="n">
        <f aca="false">ROUND((M194+N194)*0.18,0)</f>
        <v>0</v>
      </c>
      <c r="P194" s="11" t="n">
        <f aca="false">M194+N194+O194</f>
        <v>0</v>
      </c>
      <c r="Q194" s="9" t="s">
        <v>565</v>
      </c>
      <c r="R194" s="8" t="s">
        <v>284</v>
      </c>
      <c r="S194" s="8" t="s">
        <v>285</v>
      </c>
    </row>
    <row r="195" customFormat="false" ht="15" hidden="false" customHeight="false" outlineLevel="0" collapsed="false">
      <c r="B195" s="12" t="s">
        <v>127</v>
      </c>
      <c r="C195" s="12" t="s">
        <v>310</v>
      </c>
      <c r="D195" s="13" t="s">
        <v>566</v>
      </c>
      <c r="E195" s="12" t="s">
        <v>299</v>
      </c>
      <c r="F195" s="12" t="s">
        <v>312</v>
      </c>
      <c r="G195" s="13" t="s">
        <v>567</v>
      </c>
      <c r="H195" s="22" t="n">
        <v>9</v>
      </c>
      <c r="I195" s="12" t="s">
        <v>288</v>
      </c>
      <c r="J195" s="12" t="s">
        <v>294</v>
      </c>
      <c r="K195" s="22" t="n">
        <v>19</v>
      </c>
      <c r="L195" s="22" t="n">
        <v>27</v>
      </c>
      <c r="M195" s="14" t="n">
        <v>86900000</v>
      </c>
      <c r="N195" s="14" t="n">
        <v>0</v>
      </c>
      <c r="O195" s="11" t="n">
        <f aca="false">ROUND((M195+N195)*0.18,0)</f>
        <v>15642000</v>
      </c>
      <c r="P195" s="11" t="n">
        <f aca="false">M195+N195+O195</f>
        <v>102542000</v>
      </c>
      <c r="Q195" s="13" t="s">
        <v>568</v>
      </c>
      <c r="R195" s="12" t="s">
        <v>562</v>
      </c>
      <c r="S195" s="12" t="s">
        <v>563</v>
      </c>
    </row>
    <row r="196" customFormat="false" ht="15" hidden="false" customHeight="false" outlineLevel="0" collapsed="false">
      <c r="B196" s="12" t="s">
        <v>127</v>
      </c>
      <c r="C196" s="12" t="s">
        <v>310</v>
      </c>
      <c r="D196" s="13" t="s">
        <v>566</v>
      </c>
      <c r="E196" s="12" t="s">
        <v>299</v>
      </c>
      <c r="F196" s="12" t="s">
        <v>315</v>
      </c>
      <c r="G196" s="13" t="s">
        <v>569</v>
      </c>
      <c r="H196" s="22" t="n">
        <v>2</v>
      </c>
      <c r="I196" s="12" t="s">
        <v>288</v>
      </c>
      <c r="J196" s="12" t="s">
        <v>307</v>
      </c>
      <c r="K196" s="22" t="n">
        <v>26</v>
      </c>
      <c r="L196" s="22" t="n">
        <v>27</v>
      </c>
      <c r="M196" s="14" t="n">
        <v>0</v>
      </c>
      <c r="N196" s="14" t="n">
        <v>0</v>
      </c>
      <c r="O196" s="11" t="n">
        <f aca="false">ROUND((M196+N196)*0.18,0)</f>
        <v>0</v>
      </c>
      <c r="P196" s="11" t="n">
        <f aca="false">M196+N196+O196</f>
        <v>0</v>
      </c>
      <c r="Q196" s="13" t="s">
        <v>570</v>
      </c>
      <c r="R196" s="12" t="s">
        <v>562</v>
      </c>
      <c r="S196" s="12" t="s">
        <v>563</v>
      </c>
    </row>
    <row r="197" customFormat="false" ht="15" hidden="false" customHeight="false" outlineLevel="0" collapsed="false">
      <c r="B197" s="12" t="s">
        <v>127</v>
      </c>
      <c r="C197" s="12" t="s">
        <v>320</v>
      </c>
      <c r="D197" s="13" t="s">
        <v>571</v>
      </c>
      <c r="E197" s="12" t="s">
        <v>345</v>
      </c>
      <c r="F197" s="12" t="s">
        <v>323</v>
      </c>
      <c r="G197" s="13" t="s">
        <v>572</v>
      </c>
      <c r="H197" s="22" t="n">
        <v>16</v>
      </c>
      <c r="I197" s="12" t="s">
        <v>288</v>
      </c>
      <c r="J197" s="12" t="s">
        <v>294</v>
      </c>
      <c r="K197" s="22" t="n">
        <v>19</v>
      </c>
      <c r="L197" s="22" t="n">
        <v>34</v>
      </c>
      <c r="M197" s="14" t="n">
        <v>85274410</v>
      </c>
      <c r="N197" s="14" t="n">
        <v>3511800</v>
      </c>
      <c r="O197" s="11" t="n">
        <f aca="false">ROUND((M197+N197)*0.18,0)</f>
        <v>15981518</v>
      </c>
      <c r="P197" s="11" t="n">
        <f aca="false">M197+N197+O197</f>
        <v>104767728</v>
      </c>
      <c r="Q197" s="13" t="s">
        <v>573</v>
      </c>
      <c r="R197" s="12" t="s">
        <v>562</v>
      </c>
      <c r="S197" s="12" t="s">
        <v>563</v>
      </c>
    </row>
    <row r="198" customFormat="false" ht="15" hidden="false" customHeight="false" outlineLevel="0" collapsed="false">
      <c r="B198" s="12" t="s">
        <v>127</v>
      </c>
      <c r="C198" s="12" t="s">
        <v>320</v>
      </c>
      <c r="D198" s="13" t="s">
        <v>571</v>
      </c>
      <c r="E198" s="12" t="s">
        <v>345</v>
      </c>
      <c r="F198" s="12" t="s">
        <v>326</v>
      </c>
      <c r="G198" s="13" t="s">
        <v>574</v>
      </c>
      <c r="H198" s="22" t="n">
        <v>4</v>
      </c>
      <c r="I198" s="12" t="s">
        <v>288</v>
      </c>
      <c r="J198" s="12" t="s">
        <v>323</v>
      </c>
      <c r="K198" s="22" t="n">
        <v>35</v>
      </c>
      <c r="L198" s="22" t="n">
        <v>38</v>
      </c>
      <c r="M198" s="14" t="n">
        <v>0</v>
      </c>
      <c r="N198" s="14" t="n">
        <v>0</v>
      </c>
      <c r="O198" s="11" t="n">
        <f aca="false">ROUND((M198+N198)*0.18,0)</f>
        <v>0</v>
      </c>
      <c r="P198" s="11" t="n">
        <f aca="false">M198+N198+O198</f>
        <v>0</v>
      </c>
      <c r="Q198" s="13" t="s">
        <v>575</v>
      </c>
      <c r="R198" s="12" t="s">
        <v>562</v>
      </c>
      <c r="S198" s="12" t="s">
        <v>285</v>
      </c>
    </row>
    <row r="199" customFormat="false" ht="15" hidden="false" customHeight="false" outlineLevel="0" collapsed="false">
      <c r="B199" s="12" t="s">
        <v>127</v>
      </c>
      <c r="C199" s="12" t="s">
        <v>320</v>
      </c>
      <c r="D199" s="13" t="s">
        <v>571</v>
      </c>
      <c r="E199" s="12" t="s">
        <v>345</v>
      </c>
      <c r="F199" s="12" t="s">
        <v>329</v>
      </c>
      <c r="G199" s="13" t="s">
        <v>576</v>
      </c>
      <c r="H199" s="22" t="n">
        <v>6</v>
      </c>
      <c r="I199" s="12" t="s">
        <v>288</v>
      </c>
      <c r="J199" s="12" t="s">
        <v>294</v>
      </c>
      <c r="K199" s="22" t="n">
        <v>19</v>
      </c>
      <c r="L199" s="22" t="n">
        <v>24</v>
      </c>
      <c r="M199" s="14" t="n">
        <v>27181440</v>
      </c>
      <c r="N199" s="14" t="n">
        <v>0</v>
      </c>
      <c r="O199" s="11" t="n">
        <f aca="false">ROUND((M199+N199)*0.18,0)</f>
        <v>4892659</v>
      </c>
      <c r="P199" s="11" t="n">
        <f aca="false">M199+N199+O199</f>
        <v>32074099</v>
      </c>
      <c r="Q199" s="13" t="s">
        <v>577</v>
      </c>
      <c r="R199" s="12" t="s">
        <v>562</v>
      </c>
      <c r="S199" s="12" t="s">
        <v>285</v>
      </c>
    </row>
    <row r="200" customFormat="false" ht="15" hidden="false" customHeight="false" outlineLevel="0" collapsed="false">
      <c r="B200" s="12" t="s">
        <v>127</v>
      </c>
      <c r="C200" s="12" t="s">
        <v>320</v>
      </c>
      <c r="D200" s="13" t="s">
        <v>571</v>
      </c>
      <c r="E200" s="12" t="s">
        <v>345</v>
      </c>
      <c r="F200" s="12" t="s">
        <v>332</v>
      </c>
      <c r="G200" s="13" t="s">
        <v>578</v>
      </c>
      <c r="H200" s="22" t="n">
        <v>6</v>
      </c>
      <c r="I200" s="12" t="s">
        <v>288</v>
      </c>
      <c r="J200" s="12" t="s">
        <v>329</v>
      </c>
      <c r="K200" s="22" t="n">
        <v>25</v>
      </c>
      <c r="L200" s="22" t="n">
        <v>30</v>
      </c>
      <c r="M200" s="14" t="n">
        <v>68544080</v>
      </c>
      <c r="N200" s="14" t="n">
        <v>0</v>
      </c>
      <c r="O200" s="11" t="n">
        <f aca="false">ROUND((M200+N200)*0.18,0)</f>
        <v>12337934</v>
      </c>
      <c r="P200" s="11" t="n">
        <f aca="false">M200+N200+O200</f>
        <v>80882014</v>
      </c>
      <c r="Q200" s="13" t="s">
        <v>579</v>
      </c>
      <c r="R200" s="12" t="s">
        <v>562</v>
      </c>
      <c r="S200" s="12" t="s">
        <v>285</v>
      </c>
    </row>
    <row r="201" customFormat="false" ht="15" hidden="false" customHeight="false" outlineLevel="0" collapsed="false">
      <c r="B201" s="12" t="s">
        <v>127</v>
      </c>
      <c r="C201" s="12" t="s">
        <v>320</v>
      </c>
      <c r="D201" s="13" t="s">
        <v>571</v>
      </c>
      <c r="E201" s="12" t="s">
        <v>345</v>
      </c>
      <c r="F201" s="12" t="s">
        <v>458</v>
      </c>
      <c r="G201" s="13" t="s">
        <v>580</v>
      </c>
      <c r="H201" s="22" t="n">
        <v>4</v>
      </c>
      <c r="I201" s="12" t="s">
        <v>288</v>
      </c>
      <c r="J201" s="12" t="s">
        <v>326</v>
      </c>
      <c r="K201" s="22" t="n">
        <v>39</v>
      </c>
      <c r="L201" s="22" t="n">
        <v>42</v>
      </c>
      <c r="M201" s="14" t="n">
        <v>0</v>
      </c>
      <c r="N201" s="14" t="n">
        <v>0</v>
      </c>
      <c r="O201" s="11" t="n">
        <f aca="false">ROUND((M201+N201)*0.18,0)</f>
        <v>0</v>
      </c>
      <c r="P201" s="11" t="n">
        <f aca="false">M201+N201+O201</f>
        <v>0</v>
      </c>
      <c r="Q201" s="13" t="s">
        <v>581</v>
      </c>
      <c r="R201" s="12" t="s">
        <v>562</v>
      </c>
      <c r="S201" s="12" t="s">
        <v>285</v>
      </c>
    </row>
    <row r="202" customFormat="false" ht="15" hidden="false" customHeight="false" outlineLevel="0" collapsed="false">
      <c r="B202" s="12" t="s">
        <v>127</v>
      </c>
      <c r="C202" s="12" t="s">
        <v>320</v>
      </c>
      <c r="D202" s="13" t="s">
        <v>571</v>
      </c>
      <c r="E202" s="12" t="s">
        <v>345</v>
      </c>
      <c r="F202" s="12" t="s">
        <v>582</v>
      </c>
      <c r="G202" s="13" t="s">
        <v>583</v>
      </c>
      <c r="H202" s="22" t="n">
        <v>2</v>
      </c>
      <c r="I202" s="12" t="s">
        <v>288</v>
      </c>
      <c r="J202" s="12" t="s">
        <v>458</v>
      </c>
      <c r="K202" s="22" t="n">
        <v>43</v>
      </c>
      <c r="L202" s="22" t="n">
        <v>44</v>
      </c>
      <c r="M202" s="14" t="n">
        <v>0</v>
      </c>
      <c r="N202" s="14" t="n">
        <v>0</v>
      </c>
      <c r="O202" s="11" t="n">
        <f aca="false">ROUND((M202+N202)*0.18,0)</f>
        <v>0</v>
      </c>
      <c r="P202" s="11" t="n">
        <f aca="false">M202+N202+O202</f>
        <v>0</v>
      </c>
      <c r="Q202" s="13" t="s">
        <v>161</v>
      </c>
      <c r="R202" s="12" t="s">
        <v>562</v>
      </c>
      <c r="S202" s="12" t="s">
        <v>285</v>
      </c>
    </row>
    <row r="203" customFormat="false" ht="15" hidden="false" customHeight="false" outlineLevel="0" collapsed="false">
      <c r="B203" s="12" t="s">
        <v>127</v>
      </c>
      <c r="C203" s="12" t="s">
        <v>335</v>
      </c>
      <c r="D203" s="13" t="s">
        <v>584</v>
      </c>
      <c r="E203" s="12" t="s">
        <v>345</v>
      </c>
      <c r="F203" s="12" t="s">
        <v>337</v>
      </c>
      <c r="G203" s="13" t="s">
        <v>572</v>
      </c>
      <c r="H203" s="22" t="n">
        <v>14</v>
      </c>
      <c r="I203" s="12" t="s">
        <v>288</v>
      </c>
      <c r="J203" s="12" t="s">
        <v>294</v>
      </c>
      <c r="K203" s="22" t="n">
        <v>19</v>
      </c>
      <c r="L203" s="22" t="n">
        <v>32</v>
      </c>
      <c r="M203" s="14" t="n">
        <v>57452650</v>
      </c>
      <c r="N203" s="14" t="n">
        <v>2366035</v>
      </c>
      <c r="O203" s="11" t="n">
        <f aca="false">ROUND((M203+N203)*0.18,0)</f>
        <v>10767363</v>
      </c>
      <c r="P203" s="11" t="n">
        <f aca="false">M203+N203+O203</f>
        <v>70586048</v>
      </c>
      <c r="Q203" s="13" t="s">
        <v>585</v>
      </c>
      <c r="R203" s="12" t="s">
        <v>562</v>
      </c>
      <c r="S203" s="12" t="s">
        <v>563</v>
      </c>
    </row>
    <row r="204" customFormat="false" ht="15" hidden="false" customHeight="false" outlineLevel="0" collapsed="false">
      <c r="B204" s="12" t="s">
        <v>127</v>
      </c>
      <c r="C204" s="12" t="s">
        <v>335</v>
      </c>
      <c r="D204" s="13" t="s">
        <v>584</v>
      </c>
      <c r="E204" s="12" t="s">
        <v>345</v>
      </c>
      <c r="F204" s="12" t="s">
        <v>340</v>
      </c>
      <c r="G204" s="13" t="s">
        <v>586</v>
      </c>
      <c r="H204" s="22" t="n">
        <v>3</v>
      </c>
      <c r="I204" s="12" t="s">
        <v>288</v>
      </c>
      <c r="J204" s="12" t="s">
        <v>337</v>
      </c>
      <c r="K204" s="22" t="n">
        <v>33</v>
      </c>
      <c r="L204" s="22" t="n">
        <v>35</v>
      </c>
      <c r="M204" s="14" t="n">
        <v>0</v>
      </c>
      <c r="N204" s="14" t="n">
        <v>0</v>
      </c>
      <c r="O204" s="11" t="n">
        <f aca="false">ROUND((M204+N204)*0.18,0)</f>
        <v>0</v>
      </c>
      <c r="P204" s="11" t="n">
        <f aca="false">M204+N204+O204</f>
        <v>0</v>
      </c>
      <c r="Q204" s="13" t="s">
        <v>587</v>
      </c>
      <c r="R204" s="12" t="s">
        <v>562</v>
      </c>
      <c r="S204" s="12" t="s">
        <v>285</v>
      </c>
    </row>
    <row r="205" customFormat="false" ht="15" hidden="false" customHeight="false" outlineLevel="0" collapsed="false">
      <c r="B205" s="8" t="s">
        <v>127</v>
      </c>
      <c r="C205" s="8" t="s">
        <v>335</v>
      </c>
      <c r="D205" s="9" t="s">
        <v>584</v>
      </c>
      <c r="E205" s="8" t="s">
        <v>345</v>
      </c>
      <c r="F205" s="8" t="s">
        <v>341</v>
      </c>
      <c r="G205" s="9" t="s">
        <v>588</v>
      </c>
      <c r="H205" s="21" t="n">
        <v>3</v>
      </c>
      <c r="I205" s="8" t="s">
        <v>288</v>
      </c>
      <c r="J205" s="8" t="s">
        <v>307</v>
      </c>
      <c r="K205" s="21" t="n">
        <v>26</v>
      </c>
      <c r="L205" s="21" t="n">
        <v>28</v>
      </c>
      <c r="M205" s="10" t="n">
        <v>10000000</v>
      </c>
      <c r="N205" s="10" t="n">
        <v>0</v>
      </c>
      <c r="O205" s="11" t="n">
        <f aca="false">ROUND((M205+N205)*0.18,0)</f>
        <v>1800000</v>
      </c>
      <c r="P205" s="11" t="n">
        <f aca="false">M205+N205+O205</f>
        <v>11800000</v>
      </c>
      <c r="Q205" s="9" t="s">
        <v>589</v>
      </c>
      <c r="R205" s="8" t="s">
        <v>284</v>
      </c>
      <c r="S205" s="8" t="s">
        <v>293</v>
      </c>
    </row>
    <row r="206" customFormat="false" ht="22.35" hidden="false" customHeight="false" outlineLevel="0" collapsed="false">
      <c r="B206" s="12" t="s">
        <v>127</v>
      </c>
      <c r="C206" s="12" t="s">
        <v>335</v>
      </c>
      <c r="D206" s="13" t="s">
        <v>584</v>
      </c>
      <c r="E206" s="12" t="s">
        <v>345</v>
      </c>
      <c r="F206" s="12" t="s">
        <v>461</v>
      </c>
      <c r="G206" s="13" t="s">
        <v>590</v>
      </c>
      <c r="H206" s="22" t="n">
        <v>3</v>
      </c>
      <c r="I206" s="12" t="s">
        <v>288</v>
      </c>
      <c r="J206" s="12" t="s">
        <v>341</v>
      </c>
      <c r="K206" s="22" t="n">
        <v>29</v>
      </c>
      <c r="L206" s="22" t="n">
        <v>31</v>
      </c>
      <c r="M206" s="14" t="n">
        <v>2900494</v>
      </c>
      <c r="N206" s="14" t="n">
        <v>0</v>
      </c>
      <c r="O206" s="11" t="n">
        <f aca="false">ROUND((M206+N206)*0.18,0)</f>
        <v>522089</v>
      </c>
      <c r="P206" s="11" t="n">
        <f aca="false">M206+N206+O206</f>
        <v>3422583</v>
      </c>
      <c r="Q206" s="13" t="s">
        <v>591</v>
      </c>
      <c r="R206" s="12" t="s">
        <v>562</v>
      </c>
      <c r="S206" s="12" t="s">
        <v>563</v>
      </c>
    </row>
    <row r="207" customFormat="false" ht="15" hidden="false" customHeight="false" outlineLevel="0" collapsed="false">
      <c r="B207" s="12" t="s">
        <v>127</v>
      </c>
      <c r="C207" s="12" t="s">
        <v>335</v>
      </c>
      <c r="D207" s="13" t="s">
        <v>584</v>
      </c>
      <c r="E207" s="12" t="s">
        <v>345</v>
      </c>
      <c r="F207" s="12" t="s">
        <v>463</v>
      </c>
      <c r="G207" s="13" t="s">
        <v>592</v>
      </c>
      <c r="H207" s="22" t="n">
        <v>3</v>
      </c>
      <c r="I207" s="12" t="s">
        <v>288</v>
      </c>
      <c r="J207" s="12" t="s">
        <v>461</v>
      </c>
      <c r="K207" s="22" t="n">
        <v>32</v>
      </c>
      <c r="L207" s="22" t="n">
        <v>34</v>
      </c>
      <c r="M207" s="14" t="n">
        <v>4405000</v>
      </c>
      <c r="N207" s="14" t="n">
        <v>0</v>
      </c>
      <c r="O207" s="11" t="n">
        <f aca="false">ROUND((M207+N207)*0.18,0)</f>
        <v>792900</v>
      </c>
      <c r="P207" s="11" t="n">
        <f aca="false">M207+N207+O207</f>
        <v>5197900</v>
      </c>
      <c r="Q207" s="13" t="s">
        <v>593</v>
      </c>
      <c r="R207" s="12" t="s">
        <v>562</v>
      </c>
      <c r="S207" s="12" t="s">
        <v>563</v>
      </c>
    </row>
    <row r="208" customFormat="false" ht="15" hidden="false" customHeight="false" outlineLevel="0" collapsed="false">
      <c r="B208" s="12" t="s">
        <v>127</v>
      </c>
      <c r="C208" s="12" t="s">
        <v>335</v>
      </c>
      <c r="D208" s="13" t="s">
        <v>584</v>
      </c>
      <c r="E208" s="12" t="s">
        <v>345</v>
      </c>
      <c r="F208" s="12" t="s">
        <v>465</v>
      </c>
      <c r="G208" s="13" t="s">
        <v>594</v>
      </c>
      <c r="H208" s="22" t="n">
        <v>2</v>
      </c>
      <c r="I208" s="12" t="s">
        <v>288</v>
      </c>
      <c r="J208" s="12" t="s">
        <v>463</v>
      </c>
      <c r="K208" s="22" t="n">
        <v>35</v>
      </c>
      <c r="L208" s="22" t="n">
        <v>36</v>
      </c>
      <c r="M208" s="14" t="n">
        <v>0</v>
      </c>
      <c r="N208" s="14" t="n">
        <v>0</v>
      </c>
      <c r="O208" s="11" t="n">
        <f aca="false">ROUND((M208+N208)*0.18,0)</f>
        <v>0</v>
      </c>
      <c r="P208" s="11" t="n">
        <f aca="false">M208+N208+O208</f>
        <v>0</v>
      </c>
      <c r="Q208" s="13" t="s">
        <v>161</v>
      </c>
      <c r="R208" s="12" t="s">
        <v>562</v>
      </c>
      <c r="S208" s="12" t="s">
        <v>285</v>
      </c>
    </row>
    <row r="209" customFormat="false" ht="15" hidden="false" customHeight="false" outlineLevel="0" collapsed="false">
      <c r="B209" s="12" t="s">
        <v>127</v>
      </c>
      <c r="C209" s="12" t="s">
        <v>335</v>
      </c>
      <c r="D209" s="13" t="s">
        <v>584</v>
      </c>
      <c r="E209" s="12" t="s">
        <v>345</v>
      </c>
      <c r="F209" s="12" t="s">
        <v>544</v>
      </c>
      <c r="G209" s="13" t="s">
        <v>595</v>
      </c>
      <c r="H209" s="22" t="n">
        <v>6</v>
      </c>
      <c r="I209" s="12" t="s">
        <v>288</v>
      </c>
      <c r="J209" s="12" t="s">
        <v>294</v>
      </c>
      <c r="K209" s="22" t="n">
        <v>19</v>
      </c>
      <c r="L209" s="22" t="n">
        <v>24</v>
      </c>
      <c r="M209" s="14" t="n">
        <v>35762000</v>
      </c>
      <c r="N209" s="14" t="n">
        <v>0</v>
      </c>
      <c r="O209" s="11" t="n">
        <f aca="false">ROUND((M209+N209)*0.18,0)</f>
        <v>6437160</v>
      </c>
      <c r="P209" s="11" t="n">
        <f aca="false">M209+N209+O209</f>
        <v>42199160</v>
      </c>
      <c r="Q209" s="13" t="s">
        <v>596</v>
      </c>
      <c r="R209" s="12" t="s">
        <v>562</v>
      </c>
      <c r="S209" s="12" t="s">
        <v>285</v>
      </c>
    </row>
    <row r="210" customFormat="false" ht="22.35" hidden="false" customHeight="false" outlineLevel="0" collapsed="false">
      <c r="B210" s="8" t="s">
        <v>127</v>
      </c>
      <c r="C210" s="8" t="s">
        <v>335</v>
      </c>
      <c r="D210" s="9" t="s">
        <v>584</v>
      </c>
      <c r="E210" s="8" t="s">
        <v>345</v>
      </c>
      <c r="F210" s="8" t="s">
        <v>597</v>
      </c>
      <c r="G210" s="9" t="s">
        <v>598</v>
      </c>
      <c r="H210" s="21" t="n">
        <v>3</v>
      </c>
      <c r="I210" s="8" t="s">
        <v>288</v>
      </c>
      <c r="J210" s="8" t="s">
        <v>294</v>
      </c>
      <c r="K210" s="21" t="n">
        <v>19</v>
      </c>
      <c r="L210" s="21" t="n">
        <v>21</v>
      </c>
      <c r="M210" s="10" t="n">
        <v>3000000</v>
      </c>
      <c r="N210" s="10" t="n">
        <v>0</v>
      </c>
      <c r="O210" s="11" t="n">
        <f aca="false">ROUND((M210+N210)*0.18,0)</f>
        <v>540000</v>
      </c>
      <c r="P210" s="11" t="n">
        <f aca="false">M210+N210+O210</f>
        <v>3540000</v>
      </c>
      <c r="Q210" s="9" t="s">
        <v>599</v>
      </c>
      <c r="R210" s="8" t="s">
        <v>284</v>
      </c>
      <c r="S210" s="8" t="s">
        <v>293</v>
      </c>
    </row>
    <row r="211" customFormat="false" ht="22.35" hidden="false" customHeight="false" outlineLevel="0" collapsed="false">
      <c r="B211" s="12" t="s">
        <v>127</v>
      </c>
      <c r="C211" s="12" t="s">
        <v>335</v>
      </c>
      <c r="D211" s="13" t="s">
        <v>584</v>
      </c>
      <c r="E211" s="12" t="s">
        <v>345</v>
      </c>
      <c r="F211" s="12" t="s">
        <v>600</v>
      </c>
      <c r="G211" s="13" t="s">
        <v>601</v>
      </c>
      <c r="H211" s="22" t="n">
        <v>6</v>
      </c>
      <c r="I211" s="12" t="s">
        <v>288</v>
      </c>
      <c r="J211" s="12" t="s">
        <v>597</v>
      </c>
      <c r="K211" s="22" t="n">
        <v>22</v>
      </c>
      <c r="L211" s="22" t="n">
        <v>27</v>
      </c>
      <c r="M211" s="14" t="n">
        <v>4600000</v>
      </c>
      <c r="N211" s="14" t="n">
        <v>0</v>
      </c>
      <c r="O211" s="11" t="n">
        <f aca="false">ROUND((M211+N211)*0.18,0)</f>
        <v>828000</v>
      </c>
      <c r="P211" s="11" t="n">
        <f aca="false">M211+N211+O211</f>
        <v>5428000</v>
      </c>
      <c r="Q211" s="13" t="s">
        <v>602</v>
      </c>
      <c r="R211" s="12" t="s">
        <v>562</v>
      </c>
      <c r="S211" s="12" t="s">
        <v>563</v>
      </c>
    </row>
    <row r="212" customFormat="false" ht="15" hidden="false" customHeight="false" outlineLevel="0" collapsed="false">
      <c r="B212" s="8" t="s">
        <v>127</v>
      </c>
      <c r="C212" s="8" t="s">
        <v>343</v>
      </c>
      <c r="D212" s="9" t="s">
        <v>603</v>
      </c>
      <c r="E212" s="8" t="s">
        <v>361</v>
      </c>
      <c r="F212" s="8" t="s">
        <v>346</v>
      </c>
      <c r="G212" s="9" t="s">
        <v>604</v>
      </c>
      <c r="H212" s="21" t="n">
        <v>6</v>
      </c>
      <c r="I212" s="8" t="s">
        <v>288</v>
      </c>
      <c r="J212" s="8" t="s">
        <v>286</v>
      </c>
      <c r="K212" s="21" t="n">
        <v>9</v>
      </c>
      <c r="L212" s="21" t="n">
        <v>14</v>
      </c>
      <c r="M212" s="10" t="n">
        <v>0</v>
      </c>
      <c r="N212" s="10" t="n">
        <v>0</v>
      </c>
      <c r="O212" s="11" t="n">
        <f aca="false">ROUND((M212+N212)*0.18,0)</f>
        <v>0</v>
      </c>
      <c r="P212" s="11" t="n">
        <f aca="false">M212+N212+O212</f>
        <v>0</v>
      </c>
      <c r="Q212" s="9" t="s">
        <v>605</v>
      </c>
      <c r="R212" s="8" t="s">
        <v>284</v>
      </c>
      <c r="S212" s="8" t="s">
        <v>293</v>
      </c>
    </row>
    <row r="213" customFormat="false" ht="15" hidden="false" customHeight="false" outlineLevel="0" collapsed="false">
      <c r="B213" s="8" t="s">
        <v>127</v>
      </c>
      <c r="C213" s="8" t="s">
        <v>343</v>
      </c>
      <c r="D213" s="9" t="s">
        <v>603</v>
      </c>
      <c r="E213" s="8" t="s">
        <v>361</v>
      </c>
      <c r="F213" s="8" t="s">
        <v>348</v>
      </c>
      <c r="G213" s="9" t="s">
        <v>606</v>
      </c>
      <c r="H213" s="21" t="n">
        <v>18</v>
      </c>
      <c r="I213" s="8" t="s">
        <v>288</v>
      </c>
      <c r="J213" s="8" t="s">
        <v>346</v>
      </c>
      <c r="K213" s="21" t="n">
        <v>15</v>
      </c>
      <c r="L213" s="21" t="n">
        <v>32</v>
      </c>
      <c r="M213" s="10" t="n">
        <v>220000000</v>
      </c>
      <c r="N213" s="10" t="n">
        <v>9060116</v>
      </c>
      <c r="O213" s="11" t="n">
        <f aca="false">ROUND((M213+N213)*0.18,0)</f>
        <v>41230821</v>
      </c>
      <c r="P213" s="11" t="n">
        <f aca="false">M213+N213+O213</f>
        <v>270290937</v>
      </c>
      <c r="Q213" s="9" t="s">
        <v>607</v>
      </c>
      <c r="R213" s="8" t="s">
        <v>284</v>
      </c>
      <c r="S213" s="8" t="s">
        <v>293</v>
      </c>
    </row>
    <row r="214" customFormat="false" ht="15" hidden="false" customHeight="false" outlineLevel="0" collapsed="false">
      <c r="B214" s="8" t="s">
        <v>127</v>
      </c>
      <c r="C214" s="8" t="s">
        <v>343</v>
      </c>
      <c r="D214" s="9" t="s">
        <v>603</v>
      </c>
      <c r="E214" s="8" t="s">
        <v>361</v>
      </c>
      <c r="F214" s="8" t="s">
        <v>403</v>
      </c>
      <c r="G214" s="9" t="s">
        <v>327</v>
      </c>
      <c r="H214" s="21" t="n">
        <v>4</v>
      </c>
      <c r="I214" s="8" t="s">
        <v>288</v>
      </c>
      <c r="J214" s="8" t="s">
        <v>348</v>
      </c>
      <c r="K214" s="21" t="n">
        <v>33</v>
      </c>
      <c r="L214" s="21" t="n">
        <v>36</v>
      </c>
      <c r="M214" s="10" t="n">
        <v>0</v>
      </c>
      <c r="N214" s="10" t="n">
        <v>0</v>
      </c>
      <c r="O214" s="11" t="n">
        <f aca="false">ROUND((M214+N214)*0.18,0)</f>
        <v>0</v>
      </c>
      <c r="P214" s="11" t="n">
        <f aca="false">M214+N214+O214</f>
        <v>0</v>
      </c>
      <c r="Q214" s="9" t="s">
        <v>608</v>
      </c>
      <c r="R214" s="8" t="s">
        <v>284</v>
      </c>
      <c r="S214" s="8" t="s">
        <v>293</v>
      </c>
    </row>
    <row r="215" customFormat="false" ht="15" hidden="false" customHeight="false" outlineLevel="0" collapsed="false">
      <c r="B215" s="8" t="s">
        <v>127</v>
      </c>
      <c r="C215" s="8" t="s">
        <v>343</v>
      </c>
      <c r="D215" s="9" t="s">
        <v>603</v>
      </c>
      <c r="E215" s="8" t="s">
        <v>361</v>
      </c>
      <c r="F215" s="8" t="s">
        <v>471</v>
      </c>
      <c r="G215" s="9" t="s">
        <v>609</v>
      </c>
      <c r="H215" s="21" t="n">
        <v>4</v>
      </c>
      <c r="I215" s="8" t="s">
        <v>288</v>
      </c>
      <c r="J215" s="8" t="s">
        <v>403</v>
      </c>
      <c r="K215" s="21" t="n">
        <v>37</v>
      </c>
      <c r="L215" s="21" t="n">
        <v>40</v>
      </c>
      <c r="M215" s="10" t="n">
        <v>0</v>
      </c>
      <c r="N215" s="10" t="n">
        <v>0</v>
      </c>
      <c r="O215" s="11" t="n">
        <f aca="false">ROUND((M215+N215)*0.18,0)</f>
        <v>0</v>
      </c>
      <c r="P215" s="11" t="n">
        <f aca="false">M215+N215+O215</f>
        <v>0</v>
      </c>
      <c r="Q215" s="9" t="s">
        <v>608</v>
      </c>
      <c r="R215" s="8" t="s">
        <v>284</v>
      </c>
      <c r="S215" s="8" t="s">
        <v>293</v>
      </c>
    </row>
    <row r="216" customFormat="false" ht="15" hidden="false" customHeight="false" outlineLevel="0" collapsed="false">
      <c r="B216" s="8" t="s">
        <v>127</v>
      </c>
      <c r="C216" s="8" t="s">
        <v>343</v>
      </c>
      <c r="D216" s="9" t="s">
        <v>603</v>
      </c>
      <c r="E216" s="8" t="s">
        <v>361</v>
      </c>
      <c r="F216" s="8" t="s">
        <v>500</v>
      </c>
      <c r="G216" s="9" t="s">
        <v>610</v>
      </c>
      <c r="H216" s="21" t="n">
        <v>2</v>
      </c>
      <c r="I216" s="8" t="s">
        <v>288</v>
      </c>
      <c r="J216" s="8" t="s">
        <v>471</v>
      </c>
      <c r="K216" s="21" t="n">
        <v>41</v>
      </c>
      <c r="L216" s="21" t="n">
        <v>42</v>
      </c>
      <c r="M216" s="10" t="n">
        <v>0</v>
      </c>
      <c r="N216" s="10" t="n">
        <v>0</v>
      </c>
      <c r="O216" s="11" t="n">
        <f aca="false">ROUND((M216+N216)*0.18,0)</f>
        <v>0</v>
      </c>
      <c r="P216" s="11" t="n">
        <f aca="false">M216+N216+O216</f>
        <v>0</v>
      </c>
      <c r="Q216" s="9" t="s">
        <v>608</v>
      </c>
      <c r="R216" s="8" t="s">
        <v>284</v>
      </c>
      <c r="S216" s="8" t="s">
        <v>293</v>
      </c>
    </row>
    <row r="217" customFormat="false" ht="15" hidden="false" customHeight="false" outlineLevel="0" collapsed="false">
      <c r="B217" s="12" t="s">
        <v>127</v>
      </c>
      <c r="C217" s="12" t="s">
        <v>351</v>
      </c>
      <c r="D217" s="13" t="s">
        <v>611</v>
      </c>
      <c r="E217" s="12" t="s">
        <v>361</v>
      </c>
      <c r="F217" s="12" t="s">
        <v>353</v>
      </c>
      <c r="G217" s="13" t="s">
        <v>612</v>
      </c>
      <c r="H217" s="22" t="n">
        <v>18</v>
      </c>
      <c r="I217" s="12" t="s">
        <v>288</v>
      </c>
      <c r="J217" s="12" t="s">
        <v>294</v>
      </c>
      <c r="K217" s="22" t="n">
        <v>19</v>
      </c>
      <c r="L217" s="22" t="n">
        <v>36</v>
      </c>
      <c r="M217" s="14" t="n">
        <v>55920334</v>
      </c>
      <c r="N217" s="14" t="n">
        <v>2302931</v>
      </c>
      <c r="O217" s="11" t="n">
        <f aca="false">ROUND((M217+N217)*0.18,0)</f>
        <v>10480188</v>
      </c>
      <c r="P217" s="11" t="n">
        <f aca="false">M217+N217+O217</f>
        <v>68703453</v>
      </c>
      <c r="Q217" s="13" t="s">
        <v>613</v>
      </c>
      <c r="R217" s="12" t="s">
        <v>562</v>
      </c>
      <c r="S217" s="12" t="s">
        <v>563</v>
      </c>
    </row>
    <row r="218" customFormat="false" ht="15" hidden="false" customHeight="false" outlineLevel="0" collapsed="false">
      <c r="B218" s="8" t="s">
        <v>127</v>
      </c>
      <c r="C218" s="8" t="s">
        <v>351</v>
      </c>
      <c r="D218" s="9" t="s">
        <v>611</v>
      </c>
      <c r="E218" s="8" t="s">
        <v>361</v>
      </c>
      <c r="F218" s="8" t="s">
        <v>356</v>
      </c>
      <c r="G218" s="9" t="s">
        <v>614</v>
      </c>
      <c r="H218" s="21" t="n">
        <v>3</v>
      </c>
      <c r="I218" s="8" t="s">
        <v>288</v>
      </c>
      <c r="J218" s="8" t="s">
        <v>353</v>
      </c>
      <c r="K218" s="21" t="n">
        <v>37</v>
      </c>
      <c r="L218" s="21" t="n">
        <v>39</v>
      </c>
      <c r="M218" s="10" t="n">
        <v>20000000</v>
      </c>
      <c r="N218" s="10" t="n">
        <v>0</v>
      </c>
      <c r="O218" s="11" t="n">
        <f aca="false">ROUND((M218+N218)*0.18,0)</f>
        <v>3600000</v>
      </c>
      <c r="P218" s="11" t="n">
        <f aca="false">M218+N218+O218</f>
        <v>23600000</v>
      </c>
      <c r="Q218" s="9" t="s">
        <v>615</v>
      </c>
      <c r="R218" s="8" t="s">
        <v>284</v>
      </c>
      <c r="S218" s="8" t="s">
        <v>293</v>
      </c>
    </row>
    <row r="219" customFormat="false" ht="15" hidden="false" customHeight="false" outlineLevel="0" collapsed="false">
      <c r="B219" s="12" t="s">
        <v>127</v>
      </c>
      <c r="C219" s="12" t="s">
        <v>351</v>
      </c>
      <c r="D219" s="13" t="s">
        <v>611</v>
      </c>
      <c r="E219" s="12" t="s">
        <v>361</v>
      </c>
      <c r="F219" s="12" t="s">
        <v>408</v>
      </c>
      <c r="G219" s="13" t="s">
        <v>616</v>
      </c>
      <c r="H219" s="22" t="n">
        <v>2</v>
      </c>
      <c r="I219" s="12" t="s">
        <v>288</v>
      </c>
      <c r="J219" s="12" t="s">
        <v>356</v>
      </c>
      <c r="K219" s="22" t="n">
        <v>40</v>
      </c>
      <c r="L219" s="22" t="n">
        <v>41</v>
      </c>
      <c r="M219" s="14" t="n">
        <v>0</v>
      </c>
      <c r="N219" s="14" t="n">
        <v>0</v>
      </c>
      <c r="O219" s="11" t="n">
        <f aca="false">ROUND((M219+N219)*0.18,0)</f>
        <v>0</v>
      </c>
      <c r="P219" s="11" t="n">
        <f aca="false">M219+N219+O219</f>
        <v>0</v>
      </c>
      <c r="Q219" s="13" t="s">
        <v>617</v>
      </c>
      <c r="R219" s="12" t="s">
        <v>562</v>
      </c>
      <c r="S219" s="12" t="s">
        <v>563</v>
      </c>
    </row>
    <row r="220" customFormat="false" ht="15" hidden="false" customHeight="false" outlineLevel="0" collapsed="false">
      <c r="B220" s="12" t="s">
        <v>127</v>
      </c>
      <c r="C220" s="12" t="s">
        <v>351</v>
      </c>
      <c r="D220" s="13" t="s">
        <v>611</v>
      </c>
      <c r="E220" s="12" t="s">
        <v>361</v>
      </c>
      <c r="F220" s="12" t="s">
        <v>410</v>
      </c>
      <c r="G220" s="13" t="s">
        <v>618</v>
      </c>
      <c r="H220" s="22" t="n">
        <v>1</v>
      </c>
      <c r="I220" s="12" t="s">
        <v>288</v>
      </c>
      <c r="J220" s="12" t="s">
        <v>408</v>
      </c>
      <c r="K220" s="22" t="n">
        <v>42</v>
      </c>
      <c r="L220" s="22" t="n">
        <v>42</v>
      </c>
      <c r="M220" s="14" t="n">
        <v>0</v>
      </c>
      <c r="N220" s="14" t="n">
        <v>0</v>
      </c>
      <c r="O220" s="11" t="n">
        <f aca="false">ROUND((M220+N220)*0.18,0)</f>
        <v>0</v>
      </c>
      <c r="P220" s="11" t="n">
        <f aca="false">M220+N220+O220</f>
        <v>0</v>
      </c>
      <c r="Q220" s="13" t="s">
        <v>617</v>
      </c>
      <c r="R220" s="12" t="s">
        <v>562</v>
      </c>
      <c r="S220" s="12" t="s">
        <v>563</v>
      </c>
    </row>
    <row r="221" customFormat="false" ht="15" hidden="false" customHeight="false" outlineLevel="0" collapsed="false">
      <c r="B221" s="8" t="s">
        <v>127</v>
      </c>
      <c r="C221" s="8" t="s">
        <v>359</v>
      </c>
      <c r="D221" s="9" t="s">
        <v>619</v>
      </c>
      <c r="E221" s="8" t="s">
        <v>345</v>
      </c>
      <c r="F221" s="8" t="s">
        <v>362</v>
      </c>
      <c r="G221" s="9" t="s">
        <v>620</v>
      </c>
      <c r="H221" s="21" t="n">
        <v>4</v>
      </c>
      <c r="I221" s="8" t="s">
        <v>288</v>
      </c>
      <c r="J221" s="8" t="s">
        <v>307</v>
      </c>
      <c r="K221" s="21" t="n">
        <v>26</v>
      </c>
      <c r="L221" s="21" t="n">
        <v>29</v>
      </c>
      <c r="M221" s="10" t="n">
        <v>30000000</v>
      </c>
      <c r="N221" s="10" t="n">
        <v>0</v>
      </c>
      <c r="O221" s="11" t="n">
        <f aca="false">ROUND((M221+N221)*0.18,0)</f>
        <v>5400000</v>
      </c>
      <c r="P221" s="11" t="n">
        <f aca="false">M221+N221+O221</f>
        <v>35400000</v>
      </c>
      <c r="Q221" s="9" t="s">
        <v>621</v>
      </c>
      <c r="R221" s="8" t="s">
        <v>284</v>
      </c>
      <c r="S221" s="8" t="s">
        <v>293</v>
      </c>
    </row>
    <row r="222" customFormat="false" ht="15" hidden="false" customHeight="false" outlineLevel="0" collapsed="false">
      <c r="B222" s="8" t="s">
        <v>127</v>
      </c>
      <c r="C222" s="8" t="s">
        <v>359</v>
      </c>
      <c r="D222" s="9" t="s">
        <v>619</v>
      </c>
      <c r="E222" s="8" t="s">
        <v>345</v>
      </c>
      <c r="F222" s="8" t="s">
        <v>364</v>
      </c>
      <c r="G222" s="9" t="s">
        <v>622</v>
      </c>
      <c r="H222" s="21" t="n">
        <v>3</v>
      </c>
      <c r="I222" s="8" t="s">
        <v>288</v>
      </c>
      <c r="J222" s="8" t="s">
        <v>362</v>
      </c>
      <c r="K222" s="21" t="n">
        <v>30</v>
      </c>
      <c r="L222" s="21" t="n">
        <v>32</v>
      </c>
      <c r="M222" s="10" t="n">
        <v>12000000</v>
      </c>
      <c r="N222" s="10" t="n">
        <v>0</v>
      </c>
      <c r="O222" s="11" t="n">
        <f aca="false">ROUND((M222+N222)*0.18,0)</f>
        <v>2160000</v>
      </c>
      <c r="P222" s="11" t="n">
        <f aca="false">M222+N222+O222</f>
        <v>14160000</v>
      </c>
      <c r="Q222" s="9" t="s">
        <v>621</v>
      </c>
      <c r="R222" s="8" t="s">
        <v>284</v>
      </c>
      <c r="S222" s="8" t="s">
        <v>293</v>
      </c>
    </row>
    <row r="223" customFormat="false" ht="15" hidden="false" customHeight="false" outlineLevel="0" collapsed="false">
      <c r="B223" s="8" t="s">
        <v>127</v>
      </c>
      <c r="C223" s="8" t="s">
        <v>359</v>
      </c>
      <c r="D223" s="9" t="s">
        <v>619</v>
      </c>
      <c r="E223" s="8" t="s">
        <v>345</v>
      </c>
      <c r="F223" s="8" t="s">
        <v>623</v>
      </c>
      <c r="G223" s="9" t="s">
        <v>525</v>
      </c>
      <c r="H223" s="21" t="n">
        <v>3</v>
      </c>
      <c r="I223" s="8" t="s">
        <v>384</v>
      </c>
      <c r="J223" s="8" t="s">
        <v>364</v>
      </c>
      <c r="K223" s="21" t="n">
        <v>30</v>
      </c>
      <c r="L223" s="21" t="n">
        <v>32</v>
      </c>
      <c r="M223" s="10" t="n">
        <v>8000000</v>
      </c>
      <c r="N223" s="10" t="n">
        <v>0</v>
      </c>
      <c r="O223" s="11" t="n">
        <f aca="false">ROUND((M223+N223)*0.18,0)</f>
        <v>1440000</v>
      </c>
      <c r="P223" s="11" t="n">
        <f aca="false">M223+N223+O223</f>
        <v>9440000</v>
      </c>
      <c r="Q223" s="9" t="s">
        <v>621</v>
      </c>
      <c r="R223" s="8" t="s">
        <v>284</v>
      </c>
      <c r="S223" s="8" t="s">
        <v>293</v>
      </c>
    </row>
    <row r="224" customFormat="false" ht="15" hidden="false" customHeight="false" outlineLevel="0" collapsed="false">
      <c r="B224" s="8" t="s">
        <v>127</v>
      </c>
      <c r="C224" s="8" t="s">
        <v>359</v>
      </c>
      <c r="D224" s="9" t="s">
        <v>619</v>
      </c>
      <c r="E224" s="8" t="s">
        <v>345</v>
      </c>
      <c r="F224" s="8" t="s">
        <v>624</v>
      </c>
      <c r="G224" s="9" t="s">
        <v>625</v>
      </c>
      <c r="H224" s="21" t="n">
        <v>4</v>
      </c>
      <c r="I224" s="8" t="s">
        <v>288</v>
      </c>
      <c r="J224" s="8" t="s">
        <v>362</v>
      </c>
      <c r="K224" s="21" t="n">
        <v>30</v>
      </c>
      <c r="L224" s="21" t="n">
        <v>33</v>
      </c>
      <c r="M224" s="10" t="n">
        <v>15000000</v>
      </c>
      <c r="N224" s="10" t="n">
        <v>0</v>
      </c>
      <c r="O224" s="11" t="n">
        <f aca="false">ROUND((M224+N224)*0.18,0)</f>
        <v>2700000</v>
      </c>
      <c r="P224" s="11" t="n">
        <f aca="false">M224+N224+O224</f>
        <v>17700000</v>
      </c>
      <c r="Q224" s="9" t="s">
        <v>621</v>
      </c>
      <c r="R224" s="8" t="s">
        <v>284</v>
      </c>
      <c r="S224" s="8" t="s">
        <v>293</v>
      </c>
    </row>
    <row r="225" customFormat="false" ht="15" hidden="false" customHeight="false" outlineLevel="0" collapsed="false">
      <c r="B225" s="8" t="s">
        <v>127</v>
      </c>
      <c r="C225" s="8" t="s">
        <v>417</v>
      </c>
      <c r="D225" s="9" t="s">
        <v>546</v>
      </c>
      <c r="E225" s="8" t="s">
        <v>626</v>
      </c>
      <c r="F225" s="8" t="s">
        <v>419</v>
      </c>
      <c r="G225" s="9" t="s">
        <v>627</v>
      </c>
      <c r="H225" s="21" t="n">
        <v>3</v>
      </c>
      <c r="I225" s="8" t="s">
        <v>288</v>
      </c>
      <c r="J225" s="8" t="s">
        <v>500</v>
      </c>
      <c r="K225" s="21" t="n">
        <v>43</v>
      </c>
      <c r="L225" s="21" t="n">
        <v>45</v>
      </c>
      <c r="M225" s="10" t="n">
        <v>6000000</v>
      </c>
      <c r="N225" s="10" t="n">
        <v>0</v>
      </c>
      <c r="O225" s="11" t="n">
        <f aca="false">ROUND((M225+N225)*0.18,0)</f>
        <v>1080000</v>
      </c>
      <c r="P225" s="11" t="n">
        <f aca="false">M225+N225+O225</f>
        <v>7080000</v>
      </c>
      <c r="Q225" s="9" t="s">
        <v>161</v>
      </c>
      <c r="R225" s="8" t="s">
        <v>284</v>
      </c>
      <c r="S225" s="8" t="s">
        <v>293</v>
      </c>
    </row>
    <row r="226" customFormat="false" ht="15" hidden="false" customHeight="false" outlineLevel="0" collapsed="false">
      <c r="B226" s="8" t="s">
        <v>127</v>
      </c>
      <c r="C226" s="8" t="s">
        <v>417</v>
      </c>
      <c r="D226" s="9" t="s">
        <v>546</v>
      </c>
      <c r="E226" s="8" t="s">
        <v>626</v>
      </c>
      <c r="F226" s="8" t="s">
        <v>422</v>
      </c>
      <c r="G226" s="9" t="s">
        <v>628</v>
      </c>
      <c r="H226" s="21" t="n">
        <v>2</v>
      </c>
      <c r="I226" s="8" t="s">
        <v>288</v>
      </c>
      <c r="J226" s="8" t="s">
        <v>419</v>
      </c>
      <c r="K226" s="21" t="n">
        <v>46</v>
      </c>
      <c r="L226" s="21" t="n">
        <v>47</v>
      </c>
      <c r="M226" s="10" t="n">
        <v>4000000</v>
      </c>
      <c r="N226" s="10" t="n">
        <v>0</v>
      </c>
      <c r="O226" s="11" t="n">
        <f aca="false">ROUND((M226+N226)*0.18,0)</f>
        <v>720000</v>
      </c>
      <c r="P226" s="11" t="n">
        <f aca="false">M226+N226+O226</f>
        <v>4720000</v>
      </c>
      <c r="Q226" s="9" t="s">
        <v>161</v>
      </c>
      <c r="R226" s="8" t="s">
        <v>284</v>
      </c>
      <c r="S226" s="8" t="s">
        <v>293</v>
      </c>
    </row>
    <row r="227" customFormat="false" ht="15" hidden="false" customHeight="false" outlineLevel="0" collapsed="false">
      <c r="B227" s="8" t="s">
        <v>127</v>
      </c>
      <c r="C227" s="8" t="s">
        <v>417</v>
      </c>
      <c r="D227" s="9" t="s">
        <v>546</v>
      </c>
      <c r="E227" s="8" t="s">
        <v>626</v>
      </c>
      <c r="F227" s="8" t="s">
        <v>629</v>
      </c>
      <c r="G227" s="9" t="s">
        <v>630</v>
      </c>
      <c r="H227" s="21" t="n">
        <v>2</v>
      </c>
      <c r="I227" s="8" t="s">
        <v>288</v>
      </c>
      <c r="J227" s="8" t="s">
        <v>422</v>
      </c>
      <c r="K227" s="21" t="n">
        <v>48</v>
      </c>
      <c r="L227" s="21" t="n">
        <v>49</v>
      </c>
      <c r="M227" s="10" t="n">
        <v>4000000</v>
      </c>
      <c r="N227" s="10" t="n">
        <v>0</v>
      </c>
      <c r="O227" s="11" t="n">
        <f aca="false">ROUND((M227+N227)*0.18,0)</f>
        <v>720000</v>
      </c>
      <c r="P227" s="11" t="n">
        <f aca="false">M227+N227+O227</f>
        <v>4720000</v>
      </c>
      <c r="Q227" s="9" t="s">
        <v>161</v>
      </c>
      <c r="R227" s="8" t="s">
        <v>284</v>
      </c>
      <c r="S227" s="8" t="s">
        <v>293</v>
      </c>
    </row>
    <row r="228" customFormat="false" ht="15" hidden="false" customHeight="false" outlineLevel="0" collapsed="false">
      <c r="B228" s="8" t="s">
        <v>127</v>
      </c>
      <c r="C228" s="8" t="s">
        <v>417</v>
      </c>
      <c r="D228" s="9" t="s">
        <v>546</v>
      </c>
      <c r="E228" s="8" t="s">
        <v>626</v>
      </c>
      <c r="F228" s="8" t="s">
        <v>631</v>
      </c>
      <c r="G228" s="9" t="s">
        <v>632</v>
      </c>
      <c r="H228" s="21" t="n">
        <v>2</v>
      </c>
      <c r="I228" s="8" t="s">
        <v>288</v>
      </c>
      <c r="J228" s="8" t="s">
        <v>629</v>
      </c>
      <c r="K228" s="21" t="n">
        <v>50</v>
      </c>
      <c r="L228" s="21" t="n">
        <v>51</v>
      </c>
      <c r="M228" s="10" t="n">
        <v>3421829</v>
      </c>
      <c r="N228" s="10" t="n">
        <v>0</v>
      </c>
      <c r="O228" s="11" t="n">
        <f aca="false">ROUND((M228+N228)*0.18,0)</f>
        <v>615929</v>
      </c>
      <c r="P228" s="11" t="n">
        <f aca="false">M228+N228+O228</f>
        <v>4037758</v>
      </c>
      <c r="Q228" s="9" t="s">
        <v>161</v>
      </c>
      <c r="R228" s="8" t="s">
        <v>284</v>
      </c>
      <c r="S228" s="8" t="s">
        <v>293</v>
      </c>
    </row>
    <row r="229" customFormat="false" ht="15" hidden="false" customHeight="false" outlineLevel="0" collapsed="false">
      <c r="B229" s="8" t="s">
        <v>127</v>
      </c>
      <c r="C229" s="8" t="s">
        <v>417</v>
      </c>
      <c r="D229" s="9" t="s">
        <v>546</v>
      </c>
      <c r="E229" s="8" t="s">
        <v>626</v>
      </c>
      <c r="F229" s="8" t="s">
        <v>633</v>
      </c>
      <c r="G229" s="9" t="s">
        <v>634</v>
      </c>
      <c r="H229" s="21" t="n">
        <v>2</v>
      </c>
      <c r="I229" s="8" t="s">
        <v>288</v>
      </c>
      <c r="J229" s="8" t="s">
        <v>631</v>
      </c>
      <c r="K229" s="21" t="n">
        <v>52</v>
      </c>
      <c r="L229" s="21" t="n">
        <v>53</v>
      </c>
      <c r="M229" s="10" t="n">
        <v>2000000</v>
      </c>
      <c r="N229" s="10" t="n">
        <v>0</v>
      </c>
      <c r="O229" s="11" t="n">
        <f aca="false">ROUND((M229+N229)*0.18,0)</f>
        <v>360000</v>
      </c>
      <c r="P229" s="11" t="n">
        <f aca="false">M229+N229+O229</f>
        <v>2360000</v>
      </c>
      <c r="Q229" s="9" t="s">
        <v>161</v>
      </c>
      <c r="R229" s="8" t="s">
        <v>284</v>
      </c>
      <c r="S229" s="8" t="s">
        <v>293</v>
      </c>
    </row>
    <row r="230" customFormat="false" ht="15" hidden="false" customHeight="false" outlineLevel="0" collapsed="false">
      <c r="B230" s="12" t="s">
        <v>127</v>
      </c>
      <c r="C230" s="12" t="s">
        <v>424</v>
      </c>
      <c r="D230" s="13" t="s">
        <v>635</v>
      </c>
      <c r="E230" s="12" t="s">
        <v>626</v>
      </c>
      <c r="F230" s="12" t="s">
        <v>426</v>
      </c>
      <c r="G230" s="13" t="s">
        <v>636</v>
      </c>
      <c r="H230" s="22" t="n">
        <v>12</v>
      </c>
      <c r="I230" s="12" t="s">
        <v>288</v>
      </c>
      <c r="J230" s="12" t="s">
        <v>294</v>
      </c>
      <c r="K230" s="22" t="n">
        <v>19</v>
      </c>
      <c r="L230" s="22" t="n">
        <v>30</v>
      </c>
      <c r="M230" s="14" t="n">
        <v>25752039</v>
      </c>
      <c r="N230" s="14" t="n">
        <v>1060529</v>
      </c>
      <c r="O230" s="11" t="n">
        <f aca="false">ROUND((M230+N230)*0.18,0)</f>
        <v>4826262</v>
      </c>
      <c r="P230" s="11" t="n">
        <f aca="false">M230+N230+O230</f>
        <v>31638830</v>
      </c>
      <c r="Q230" s="13" t="s">
        <v>637</v>
      </c>
      <c r="R230" s="12" t="s">
        <v>562</v>
      </c>
      <c r="S230" s="12" t="s">
        <v>563</v>
      </c>
    </row>
    <row r="231" customFormat="false" ht="15" hidden="false" customHeight="false" outlineLevel="0" collapsed="false">
      <c r="B231" s="8" t="s">
        <v>127</v>
      </c>
      <c r="C231" s="8" t="s">
        <v>424</v>
      </c>
      <c r="D231" s="9" t="s">
        <v>635</v>
      </c>
      <c r="E231" s="8" t="s">
        <v>626</v>
      </c>
      <c r="F231" s="8" t="s">
        <v>428</v>
      </c>
      <c r="G231" s="9" t="s">
        <v>638</v>
      </c>
      <c r="H231" s="21" t="n">
        <v>4</v>
      </c>
      <c r="I231" s="8" t="s">
        <v>288</v>
      </c>
      <c r="J231" s="8" t="s">
        <v>426</v>
      </c>
      <c r="K231" s="21" t="n">
        <v>31</v>
      </c>
      <c r="L231" s="21" t="n">
        <v>34</v>
      </c>
      <c r="M231" s="10" t="n">
        <v>0</v>
      </c>
      <c r="N231" s="10" t="n">
        <v>0</v>
      </c>
      <c r="O231" s="11" t="n">
        <f aca="false">ROUND((M231+N231)*0.18,0)</f>
        <v>0</v>
      </c>
      <c r="P231" s="11" t="n">
        <f aca="false">M231+N231+O231</f>
        <v>0</v>
      </c>
      <c r="Q231" s="9" t="s">
        <v>639</v>
      </c>
      <c r="R231" s="8" t="s">
        <v>284</v>
      </c>
      <c r="S231" s="8" t="s">
        <v>285</v>
      </c>
    </row>
    <row r="232" customFormat="false" ht="15" hidden="false" customHeight="false" outlineLevel="0" collapsed="false">
      <c r="B232" s="12" t="s">
        <v>127</v>
      </c>
      <c r="C232" s="12" t="s">
        <v>640</v>
      </c>
      <c r="D232" s="13" t="s">
        <v>641</v>
      </c>
      <c r="E232" s="12" t="s">
        <v>626</v>
      </c>
      <c r="F232" s="12" t="s">
        <v>642</v>
      </c>
      <c r="G232" s="13" t="s">
        <v>643</v>
      </c>
      <c r="H232" s="22" t="n">
        <v>14</v>
      </c>
      <c r="I232" s="12" t="s">
        <v>288</v>
      </c>
      <c r="J232" s="12" t="s">
        <v>294</v>
      </c>
      <c r="K232" s="22" t="n">
        <v>19</v>
      </c>
      <c r="L232" s="22" t="n">
        <v>32</v>
      </c>
      <c r="M232" s="14" t="n">
        <v>31157958</v>
      </c>
      <c r="N232" s="14" t="n">
        <v>1283158</v>
      </c>
      <c r="O232" s="11" t="n">
        <f aca="false">ROUND((M232+N232)*0.18,0)</f>
        <v>5839401</v>
      </c>
      <c r="P232" s="11" t="n">
        <f aca="false">M232+N232+O232</f>
        <v>38280517</v>
      </c>
      <c r="Q232" s="13" t="s">
        <v>644</v>
      </c>
      <c r="R232" s="12" t="s">
        <v>562</v>
      </c>
      <c r="S232" s="12" t="s">
        <v>563</v>
      </c>
    </row>
    <row r="233" customFormat="false" ht="15" hidden="false" customHeight="false" outlineLevel="0" collapsed="false">
      <c r="B233" s="8" t="s">
        <v>127</v>
      </c>
      <c r="C233" s="8" t="s">
        <v>640</v>
      </c>
      <c r="D233" s="9" t="s">
        <v>641</v>
      </c>
      <c r="E233" s="8" t="s">
        <v>626</v>
      </c>
      <c r="F233" s="8" t="s">
        <v>645</v>
      </c>
      <c r="G233" s="9" t="s">
        <v>646</v>
      </c>
      <c r="H233" s="21" t="n">
        <v>6</v>
      </c>
      <c r="I233" s="8" t="s">
        <v>288</v>
      </c>
      <c r="J233" s="8" t="s">
        <v>642</v>
      </c>
      <c r="K233" s="21" t="n">
        <v>33</v>
      </c>
      <c r="L233" s="21" t="n">
        <v>38</v>
      </c>
      <c r="M233" s="10" t="n">
        <v>0</v>
      </c>
      <c r="N233" s="10" t="n">
        <v>0</v>
      </c>
      <c r="O233" s="11" t="n">
        <f aca="false">ROUND((M233+N233)*0.18,0)</f>
        <v>0</v>
      </c>
      <c r="P233" s="11" t="n">
        <f aca="false">M233+N233+O233</f>
        <v>0</v>
      </c>
      <c r="Q233" s="9" t="s">
        <v>647</v>
      </c>
      <c r="R233" s="8" t="s">
        <v>284</v>
      </c>
      <c r="S233" s="8" t="s">
        <v>293</v>
      </c>
    </row>
    <row r="234" customFormat="false" ht="15" hidden="false" customHeight="false" outlineLevel="0" collapsed="false">
      <c r="B234" s="8" t="s">
        <v>127</v>
      </c>
      <c r="C234" s="8" t="s">
        <v>640</v>
      </c>
      <c r="D234" s="9" t="s">
        <v>641</v>
      </c>
      <c r="E234" s="8" t="s">
        <v>626</v>
      </c>
      <c r="F234" s="8" t="s">
        <v>648</v>
      </c>
      <c r="G234" s="9" t="s">
        <v>649</v>
      </c>
      <c r="H234" s="21" t="n">
        <v>3</v>
      </c>
      <c r="I234" s="8" t="s">
        <v>288</v>
      </c>
      <c r="J234" s="8" t="s">
        <v>645</v>
      </c>
      <c r="K234" s="21" t="n">
        <v>39</v>
      </c>
      <c r="L234" s="21" t="n">
        <v>41</v>
      </c>
      <c r="M234" s="10" t="n">
        <v>0</v>
      </c>
      <c r="N234" s="10" t="n">
        <v>0</v>
      </c>
      <c r="O234" s="11" t="n">
        <f aca="false">ROUND((M234+N234)*0.18,0)</f>
        <v>0</v>
      </c>
      <c r="P234" s="11" t="n">
        <f aca="false">M234+N234+O234</f>
        <v>0</v>
      </c>
      <c r="Q234" s="9" t="s">
        <v>650</v>
      </c>
      <c r="R234" s="8" t="s">
        <v>284</v>
      </c>
      <c r="S234" s="8" t="s">
        <v>293</v>
      </c>
    </row>
    <row r="235" customFormat="false" ht="15" hidden="false" customHeight="false" outlineLevel="0" collapsed="false">
      <c r="B235" s="12" t="s">
        <v>127</v>
      </c>
      <c r="C235" s="12" t="s">
        <v>651</v>
      </c>
      <c r="D235" s="13" t="s">
        <v>652</v>
      </c>
      <c r="E235" s="12" t="s">
        <v>626</v>
      </c>
      <c r="F235" s="12" t="s">
        <v>653</v>
      </c>
      <c r="G235" s="13" t="s">
        <v>654</v>
      </c>
      <c r="H235" s="22" t="n">
        <v>10</v>
      </c>
      <c r="I235" s="12" t="s">
        <v>288</v>
      </c>
      <c r="J235" s="12" t="s">
        <v>294</v>
      </c>
      <c r="K235" s="22" t="n">
        <v>19</v>
      </c>
      <c r="L235" s="22" t="n">
        <v>28</v>
      </c>
      <c r="M235" s="14" t="n">
        <v>49593629</v>
      </c>
      <c r="N235" s="14" t="n">
        <v>2042382</v>
      </c>
      <c r="O235" s="11" t="n">
        <f aca="false">ROUND((M235+N235)*0.18,0)</f>
        <v>9294482</v>
      </c>
      <c r="P235" s="11" t="n">
        <f aca="false">M235+N235+O235</f>
        <v>60930493</v>
      </c>
      <c r="Q235" s="13" t="s">
        <v>655</v>
      </c>
      <c r="R235" s="12" t="s">
        <v>562</v>
      </c>
      <c r="S235" s="12" t="s">
        <v>563</v>
      </c>
    </row>
    <row r="236" customFormat="false" ht="15" hidden="false" customHeight="false" outlineLevel="0" collapsed="false">
      <c r="B236" s="8" t="s">
        <v>127</v>
      </c>
      <c r="C236" s="8" t="s">
        <v>651</v>
      </c>
      <c r="D236" s="9" t="s">
        <v>652</v>
      </c>
      <c r="E236" s="8" t="s">
        <v>626</v>
      </c>
      <c r="F236" s="8" t="s">
        <v>656</v>
      </c>
      <c r="G236" s="9" t="s">
        <v>657</v>
      </c>
      <c r="H236" s="21" t="n">
        <v>5</v>
      </c>
      <c r="I236" s="8" t="s">
        <v>288</v>
      </c>
      <c r="J236" s="8" t="s">
        <v>653</v>
      </c>
      <c r="K236" s="21" t="n">
        <v>29</v>
      </c>
      <c r="L236" s="21" t="n">
        <v>33</v>
      </c>
      <c r="M236" s="10" t="n">
        <v>0</v>
      </c>
      <c r="N236" s="10" t="n">
        <v>0</v>
      </c>
      <c r="O236" s="11" t="n">
        <f aca="false">ROUND((M236+N236)*0.18,0)</f>
        <v>0</v>
      </c>
      <c r="P236" s="11" t="n">
        <f aca="false">M236+N236+O236</f>
        <v>0</v>
      </c>
      <c r="Q236" s="9" t="s">
        <v>658</v>
      </c>
      <c r="R236" s="8" t="s">
        <v>284</v>
      </c>
      <c r="S236" s="8" t="s">
        <v>293</v>
      </c>
    </row>
    <row r="237" customFormat="false" ht="15" hidden="false" customHeight="false" outlineLevel="0" collapsed="false">
      <c r="B237" s="8" t="s">
        <v>127</v>
      </c>
      <c r="C237" s="8" t="s">
        <v>651</v>
      </c>
      <c r="D237" s="9" t="s">
        <v>652</v>
      </c>
      <c r="E237" s="8" t="s">
        <v>626</v>
      </c>
      <c r="F237" s="8" t="s">
        <v>659</v>
      </c>
      <c r="G237" s="9" t="s">
        <v>660</v>
      </c>
      <c r="H237" s="21" t="n">
        <v>3</v>
      </c>
      <c r="I237" s="8" t="s">
        <v>288</v>
      </c>
      <c r="J237" s="8" t="s">
        <v>656</v>
      </c>
      <c r="K237" s="21" t="n">
        <v>34</v>
      </c>
      <c r="L237" s="21" t="n">
        <v>36</v>
      </c>
      <c r="M237" s="10" t="n">
        <v>0</v>
      </c>
      <c r="N237" s="10" t="n">
        <v>0</v>
      </c>
      <c r="O237" s="11" t="n">
        <f aca="false">ROUND((M237+N237)*0.18,0)</f>
        <v>0</v>
      </c>
      <c r="P237" s="11" t="n">
        <f aca="false">M237+N237+O237</f>
        <v>0</v>
      </c>
      <c r="Q237" s="9" t="s">
        <v>661</v>
      </c>
      <c r="R237" s="8" t="s">
        <v>284</v>
      </c>
      <c r="S237" s="8" t="s">
        <v>293</v>
      </c>
    </row>
    <row r="238" customFormat="false" ht="22.35" hidden="false" customHeight="false" outlineLevel="0" collapsed="false">
      <c r="B238" s="8" t="s">
        <v>127</v>
      </c>
      <c r="C238" s="8" t="s">
        <v>662</v>
      </c>
      <c r="D238" s="9" t="s">
        <v>663</v>
      </c>
      <c r="E238" s="8" t="s">
        <v>361</v>
      </c>
      <c r="F238" s="8" t="s">
        <v>664</v>
      </c>
      <c r="G238" s="9" t="s">
        <v>665</v>
      </c>
      <c r="H238" s="21" t="n">
        <v>4</v>
      </c>
      <c r="I238" s="8" t="s">
        <v>288</v>
      </c>
      <c r="J238" s="8" t="s">
        <v>286</v>
      </c>
      <c r="K238" s="21" t="n">
        <v>9</v>
      </c>
      <c r="L238" s="21" t="n">
        <v>12</v>
      </c>
      <c r="M238" s="10" t="n">
        <v>0</v>
      </c>
      <c r="N238" s="10" t="n">
        <v>0</v>
      </c>
      <c r="O238" s="11" t="n">
        <f aca="false">ROUND((M238+N238)*0.18,0)</f>
        <v>0</v>
      </c>
      <c r="P238" s="11" t="n">
        <f aca="false">M238+N238+O238</f>
        <v>0</v>
      </c>
      <c r="Q238" s="9" t="s">
        <v>666</v>
      </c>
      <c r="R238" s="8" t="s">
        <v>284</v>
      </c>
      <c r="S238" s="8" t="s">
        <v>293</v>
      </c>
    </row>
    <row r="239" customFormat="false" ht="22.35" hidden="false" customHeight="false" outlineLevel="0" collapsed="false">
      <c r="B239" s="8" t="s">
        <v>127</v>
      </c>
      <c r="C239" s="8" t="s">
        <v>662</v>
      </c>
      <c r="D239" s="9" t="s">
        <v>663</v>
      </c>
      <c r="E239" s="8" t="s">
        <v>361</v>
      </c>
      <c r="F239" s="8" t="s">
        <v>667</v>
      </c>
      <c r="G239" s="9" t="s">
        <v>668</v>
      </c>
      <c r="H239" s="21" t="n">
        <v>20</v>
      </c>
      <c r="I239" s="8" t="s">
        <v>288</v>
      </c>
      <c r="J239" s="8" t="s">
        <v>664</v>
      </c>
      <c r="K239" s="21" t="n">
        <v>13</v>
      </c>
      <c r="L239" s="21" t="n">
        <v>32</v>
      </c>
      <c r="M239" s="10" t="n">
        <v>229584950</v>
      </c>
      <c r="N239" s="10" t="n">
        <v>9454847</v>
      </c>
      <c r="O239" s="11" t="n">
        <f aca="false">ROUND((M239+N239)*0.18,0)</f>
        <v>43027163</v>
      </c>
      <c r="P239" s="11" t="n">
        <f aca="false">M239+N239+O239</f>
        <v>282066960</v>
      </c>
      <c r="Q239" s="9" t="s">
        <v>669</v>
      </c>
      <c r="R239" s="8" t="s">
        <v>284</v>
      </c>
      <c r="S239" s="8" t="s">
        <v>285</v>
      </c>
    </row>
    <row r="240" customFormat="false" ht="15" hidden="false" customHeight="false" outlineLevel="0" collapsed="false">
      <c r="B240" s="8" t="s">
        <v>127</v>
      </c>
      <c r="C240" s="8" t="s">
        <v>662</v>
      </c>
      <c r="D240" s="9" t="s">
        <v>663</v>
      </c>
      <c r="E240" s="8" t="s">
        <v>361</v>
      </c>
      <c r="F240" s="8" t="s">
        <v>670</v>
      </c>
      <c r="G240" s="9" t="s">
        <v>327</v>
      </c>
      <c r="H240" s="21" t="n">
        <v>5</v>
      </c>
      <c r="I240" s="8" t="s">
        <v>288</v>
      </c>
      <c r="J240" s="8" t="s">
        <v>667</v>
      </c>
      <c r="K240" s="21" t="n">
        <v>33</v>
      </c>
      <c r="L240" s="21" t="n">
        <v>37</v>
      </c>
      <c r="M240" s="10" t="n">
        <v>0</v>
      </c>
      <c r="N240" s="10" t="n">
        <v>0</v>
      </c>
      <c r="O240" s="11" t="n">
        <f aca="false">ROUND((M240+N240)*0.18,0)</f>
        <v>0</v>
      </c>
      <c r="P240" s="11" t="n">
        <f aca="false">M240+N240+O240</f>
        <v>0</v>
      </c>
      <c r="Q240" s="9" t="s">
        <v>671</v>
      </c>
      <c r="R240" s="8" t="s">
        <v>284</v>
      </c>
      <c r="S240" s="8" t="s">
        <v>293</v>
      </c>
    </row>
    <row r="241" customFormat="false" ht="15" hidden="false" customHeight="false" outlineLevel="0" collapsed="false">
      <c r="B241" s="8" t="s">
        <v>127</v>
      </c>
      <c r="C241" s="8" t="s">
        <v>662</v>
      </c>
      <c r="D241" s="9" t="s">
        <v>663</v>
      </c>
      <c r="E241" s="8" t="s">
        <v>361</v>
      </c>
      <c r="F241" s="8" t="s">
        <v>672</v>
      </c>
      <c r="G241" s="9" t="s">
        <v>673</v>
      </c>
      <c r="H241" s="21" t="n">
        <v>4</v>
      </c>
      <c r="I241" s="8" t="s">
        <v>288</v>
      </c>
      <c r="J241" s="8" t="s">
        <v>670</v>
      </c>
      <c r="K241" s="21" t="n">
        <v>38</v>
      </c>
      <c r="L241" s="21" t="n">
        <v>41</v>
      </c>
      <c r="M241" s="10" t="n">
        <v>0</v>
      </c>
      <c r="N241" s="10" t="n">
        <v>0</v>
      </c>
      <c r="O241" s="11" t="n">
        <f aca="false">ROUND((M241+N241)*0.18,0)</f>
        <v>0</v>
      </c>
      <c r="P241" s="11" t="n">
        <f aca="false">M241+N241+O241</f>
        <v>0</v>
      </c>
      <c r="Q241" s="9" t="s">
        <v>674</v>
      </c>
      <c r="R241" s="8" t="s">
        <v>284</v>
      </c>
      <c r="S241" s="8" t="s">
        <v>293</v>
      </c>
    </row>
    <row r="242" customFormat="false" ht="15" hidden="false" customHeight="false" outlineLevel="0" collapsed="false">
      <c r="B242" s="8" t="s">
        <v>127</v>
      </c>
      <c r="C242" s="8" t="s">
        <v>662</v>
      </c>
      <c r="D242" s="9" t="s">
        <v>663</v>
      </c>
      <c r="E242" s="8" t="s">
        <v>361</v>
      </c>
      <c r="F242" s="8" t="s">
        <v>675</v>
      </c>
      <c r="G242" s="9" t="s">
        <v>676</v>
      </c>
      <c r="H242" s="21" t="n">
        <v>3</v>
      </c>
      <c r="I242" s="8" t="s">
        <v>288</v>
      </c>
      <c r="J242" s="8" t="s">
        <v>672</v>
      </c>
      <c r="K242" s="21" t="n">
        <v>42</v>
      </c>
      <c r="L242" s="21" t="n">
        <v>44</v>
      </c>
      <c r="M242" s="10" t="n">
        <v>0</v>
      </c>
      <c r="N242" s="10" t="n">
        <v>0</v>
      </c>
      <c r="O242" s="11" t="n">
        <f aca="false">ROUND((M242+N242)*0.18,0)</f>
        <v>0</v>
      </c>
      <c r="P242" s="11" t="n">
        <f aca="false">M242+N242+O242</f>
        <v>0</v>
      </c>
      <c r="Q242" s="9" t="s">
        <v>161</v>
      </c>
      <c r="R242" s="8" t="s">
        <v>284</v>
      </c>
      <c r="S242" s="8" t="s">
        <v>293</v>
      </c>
    </row>
    <row r="243" customFormat="false" ht="15" hidden="false" customHeight="false" outlineLevel="0" collapsed="false">
      <c r="B243" s="8" t="s">
        <v>136</v>
      </c>
      <c r="C243" s="8" t="s">
        <v>279</v>
      </c>
      <c r="D243" s="9" t="s">
        <v>677</v>
      </c>
      <c r="E243" s="8" t="s">
        <v>81</v>
      </c>
      <c r="F243" s="8" t="s">
        <v>281</v>
      </c>
      <c r="G243" s="9" t="s">
        <v>678</v>
      </c>
      <c r="H243" s="21" t="n">
        <v>5</v>
      </c>
      <c r="I243" s="8"/>
      <c r="J243" s="8"/>
      <c r="K243" s="21" t="n">
        <v>1</v>
      </c>
      <c r="L243" s="21" t="n">
        <v>5</v>
      </c>
      <c r="M243" s="10" t="n">
        <v>6000000</v>
      </c>
      <c r="N243" s="10" t="n">
        <v>0</v>
      </c>
      <c r="O243" s="11" t="n">
        <f aca="false">ROUND((M243+N243)*0.18,0)</f>
        <v>1080000</v>
      </c>
      <c r="P243" s="11" t="n">
        <f aca="false">M243+N243+O243</f>
        <v>7080000</v>
      </c>
      <c r="Q243" s="9" t="s">
        <v>679</v>
      </c>
      <c r="R243" s="8" t="s">
        <v>284</v>
      </c>
      <c r="S243" s="8" t="s">
        <v>285</v>
      </c>
    </row>
    <row r="244" customFormat="false" ht="15" hidden="false" customHeight="false" outlineLevel="0" collapsed="false">
      <c r="B244" s="12" t="s">
        <v>136</v>
      </c>
      <c r="C244" s="12" t="s">
        <v>279</v>
      </c>
      <c r="D244" s="13" t="s">
        <v>677</v>
      </c>
      <c r="E244" s="12" t="s">
        <v>81</v>
      </c>
      <c r="F244" s="12" t="s">
        <v>286</v>
      </c>
      <c r="G244" s="13" t="s">
        <v>680</v>
      </c>
      <c r="H244" s="22" t="n">
        <v>3</v>
      </c>
      <c r="I244" s="12" t="s">
        <v>288</v>
      </c>
      <c r="J244" s="12" t="s">
        <v>281</v>
      </c>
      <c r="K244" s="22" t="n">
        <v>6</v>
      </c>
      <c r="L244" s="22" t="n">
        <v>8</v>
      </c>
      <c r="M244" s="14" t="n">
        <v>0</v>
      </c>
      <c r="N244" s="14" t="n">
        <v>0</v>
      </c>
      <c r="O244" s="11" t="n">
        <f aca="false">ROUND((M244+N244)*0.18,0)</f>
        <v>0</v>
      </c>
      <c r="P244" s="11" t="n">
        <f aca="false">M244+N244+O244</f>
        <v>0</v>
      </c>
      <c r="Q244" s="13" t="s">
        <v>681</v>
      </c>
      <c r="R244" s="12" t="s">
        <v>562</v>
      </c>
      <c r="S244" s="12" t="s">
        <v>563</v>
      </c>
    </row>
    <row r="245" customFormat="false" ht="15" hidden="false" customHeight="false" outlineLevel="0" collapsed="false">
      <c r="B245" s="8" t="s">
        <v>136</v>
      </c>
      <c r="C245" s="8" t="s">
        <v>279</v>
      </c>
      <c r="D245" s="9" t="s">
        <v>677</v>
      </c>
      <c r="E245" s="8" t="s">
        <v>81</v>
      </c>
      <c r="F245" s="8" t="s">
        <v>290</v>
      </c>
      <c r="G245" s="9" t="s">
        <v>682</v>
      </c>
      <c r="H245" s="21" t="n">
        <v>6</v>
      </c>
      <c r="I245" s="8" t="s">
        <v>288</v>
      </c>
      <c r="J245" s="8" t="s">
        <v>286</v>
      </c>
      <c r="K245" s="21" t="n">
        <v>9</v>
      </c>
      <c r="L245" s="21" t="n">
        <v>14</v>
      </c>
      <c r="M245" s="10" t="n">
        <v>6000000</v>
      </c>
      <c r="N245" s="10" t="n">
        <v>0</v>
      </c>
      <c r="O245" s="11" t="n">
        <f aca="false">ROUND((M245+N245)*0.18,0)</f>
        <v>1080000</v>
      </c>
      <c r="P245" s="11" t="n">
        <f aca="false">M245+N245+O245</f>
        <v>7080000</v>
      </c>
      <c r="Q245" s="9" t="s">
        <v>683</v>
      </c>
      <c r="R245" s="8" t="s">
        <v>284</v>
      </c>
      <c r="S245" s="8" t="s">
        <v>293</v>
      </c>
    </row>
    <row r="246" customFormat="false" ht="15" hidden="false" customHeight="false" outlineLevel="0" collapsed="false">
      <c r="B246" s="12" t="s">
        <v>136</v>
      </c>
      <c r="C246" s="12" t="s">
        <v>297</v>
      </c>
      <c r="D246" s="13" t="s">
        <v>684</v>
      </c>
      <c r="E246" s="12" t="s">
        <v>81</v>
      </c>
      <c r="F246" s="12" t="s">
        <v>300</v>
      </c>
      <c r="G246" s="13" t="s">
        <v>685</v>
      </c>
      <c r="H246" s="22" t="n">
        <v>10</v>
      </c>
      <c r="I246" s="12" t="s">
        <v>288</v>
      </c>
      <c r="J246" s="12" t="s">
        <v>286</v>
      </c>
      <c r="K246" s="22" t="n">
        <v>9</v>
      </c>
      <c r="L246" s="22" t="n">
        <v>18</v>
      </c>
      <c r="M246" s="14" t="n">
        <v>0</v>
      </c>
      <c r="N246" s="14" t="n">
        <v>0</v>
      </c>
      <c r="O246" s="11" t="n">
        <f aca="false">ROUND((M246+N246)*0.18,0)</f>
        <v>0</v>
      </c>
      <c r="P246" s="11" t="n">
        <f aca="false">M246+N246+O246</f>
        <v>0</v>
      </c>
      <c r="Q246" s="13" t="s">
        <v>686</v>
      </c>
      <c r="R246" s="12" t="s">
        <v>562</v>
      </c>
      <c r="S246" s="12" t="s">
        <v>563</v>
      </c>
    </row>
    <row r="247" customFormat="false" ht="15" hidden="false" customHeight="false" outlineLevel="0" collapsed="false">
      <c r="B247" s="12" t="s">
        <v>136</v>
      </c>
      <c r="C247" s="12" t="s">
        <v>297</v>
      </c>
      <c r="D247" s="13" t="s">
        <v>684</v>
      </c>
      <c r="E247" s="12" t="s">
        <v>81</v>
      </c>
      <c r="F247" s="12" t="s">
        <v>304</v>
      </c>
      <c r="G247" s="13" t="s">
        <v>687</v>
      </c>
      <c r="H247" s="22" t="n">
        <v>24</v>
      </c>
      <c r="I247" s="12" t="s">
        <v>288</v>
      </c>
      <c r="J247" s="12" t="s">
        <v>300</v>
      </c>
      <c r="K247" s="22" t="n">
        <v>19</v>
      </c>
      <c r="L247" s="22" t="n">
        <v>42</v>
      </c>
      <c r="M247" s="14" t="n">
        <v>626438935</v>
      </c>
      <c r="N247" s="14" t="n">
        <v>37160697</v>
      </c>
      <c r="O247" s="11" t="n">
        <f aca="false">ROUND((M247+N247)*0.18,0)</f>
        <v>119447934</v>
      </c>
      <c r="P247" s="11" t="n">
        <f aca="false">M247+N247+O247</f>
        <v>783047566</v>
      </c>
      <c r="Q247" s="13" t="s">
        <v>688</v>
      </c>
      <c r="R247" s="12" t="s">
        <v>562</v>
      </c>
      <c r="S247" s="12" t="s">
        <v>563</v>
      </c>
    </row>
    <row r="248" customFormat="false" ht="15" hidden="false" customHeight="false" outlineLevel="0" collapsed="false">
      <c r="B248" s="12" t="s">
        <v>136</v>
      </c>
      <c r="C248" s="12" t="s">
        <v>297</v>
      </c>
      <c r="D248" s="13" t="s">
        <v>684</v>
      </c>
      <c r="E248" s="12" t="s">
        <v>81</v>
      </c>
      <c r="F248" s="12" t="s">
        <v>307</v>
      </c>
      <c r="G248" s="13" t="s">
        <v>689</v>
      </c>
      <c r="H248" s="22" t="n">
        <v>5</v>
      </c>
      <c r="I248" s="12" t="s">
        <v>288</v>
      </c>
      <c r="J248" s="12" t="s">
        <v>304</v>
      </c>
      <c r="K248" s="22" t="n">
        <v>43</v>
      </c>
      <c r="L248" s="22" t="n">
        <v>47</v>
      </c>
      <c r="M248" s="14" t="n">
        <v>0</v>
      </c>
      <c r="N248" s="14" t="n">
        <v>0</v>
      </c>
      <c r="O248" s="11" t="n">
        <f aca="false">ROUND((M248+N248)*0.18,0)</f>
        <v>0</v>
      </c>
      <c r="P248" s="11" t="n">
        <f aca="false">M248+N248+O248</f>
        <v>0</v>
      </c>
      <c r="Q248" s="13" t="s">
        <v>690</v>
      </c>
      <c r="R248" s="12" t="s">
        <v>562</v>
      </c>
      <c r="S248" s="12" t="s">
        <v>285</v>
      </c>
    </row>
    <row r="249" customFormat="false" ht="15" hidden="false" customHeight="false" outlineLevel="0" collapsed="false">
      <c r="B249" s="12" t="s">
        <v>136</v>
      </c>
      <c r="C249" s="12" t="s">
        <v>310</v>
      </c>
      <c r="D249" s="13" t="s">
        <v>691</v>
      </c>
      <c r="E249" s="12" t="s">
        <v>81</v>
      </c>
      <c r="F249" s="12" t="s">
        <v>312</v>
      </c>
      <c r="G249" s="13" t="s">
        <v>692</v>
      </c>
      <c r="H249" s="22" t="n">
        <v>10</v>
      </c>
      <c r="I249" s="12" t="s">
        <v>288</v>
      </c>
      <c r="J249" s="12" t="s">
        <v>286</v>
      </c>
      <c r="K249" s="22" t="n">
        <v>9</v>
      </c>
      <c r="L249" s="22" t="n">
        <v>18</v>
      </c>
      <c r="M249" s="14" t="n">
        <v>0</v>
      </c>
      <c r="N249" s="14" t="n">
        <v>0</v>
      </c>
      <c r="O249" s="11" t="n">
        <f aca="false">ROUND((M249+N249)*0.18,0)</f>
        <v>0</v>
      </c>
      <c r="P249" s="11" t="n">
        <f aca="false">M249+N249+O249</f>
        <v>0</v>
      </c>
      <c r="Q249" s="13" t="s">
        <v>693</v>
      </c>
      <c r="R249" s="12" t="s">
        <v>562</v>
      </c>
      <c r="S249" s="12" t="s">
        <v>563</v>
      </c>
    </row>
    <row r="250" customFormat="false" ht="15" hidden="false" customHeight="false" outlineLevel="0" collapsed="false">
      <c r="B250" s="12" t="s">
        <v>136</v>
      </c>
      <c r="C250" s="12" t="s">
        <v>310</v>
      </c>
      <c r="D250" s="13" t="s">
        <v>691</v>
      </c>
      <c r="E250" s="12" t="s">
        <v>81</v>
      </c>
      <c r="F250" s="12" t="s">
        <v>315</v>
      </c>
      <c r="G250" s="13" t="s">
        <v>687</v>
      </c>
      <c r="H250" s="22" t="n">
        <v>26</v>
      </c>
      <c r="I250" s="12" t="s">
        <v>288</v>
      </c>
      <c r="J250" s="12" t="s">
        <v>312</v>
      </c>
      <c r="K250" s="22" t="n">
        <v>19</v>
      </c>
      <c r="L250" s="22" t="n">
        <v>44</v>
      </c>
      <c r="M250" s="14" t="n">
        <v>649069452</v>
      </c>
      <c r="N250" s="14" t="n">
        <v>38503151</v>
      </c>
      <c r="O250" s="11" t="n">
        <f aca="false">ROUND((M250+N250)*0.18,0)</f>
        <v>123763069</v>
      </c>
      <c r="P250" s="11" t="n">
        <f aca="false">M250+N250+O250</f>
        <v>811335672</v>
      </c>
      <c r="Q250" s="13" t="s">
        <v>694</v>
      </c>
      <c r="R250" s="12" t="s">
        <v>562</v>
      </c>
      <c r="S250" s="12" t="s">
        <v>563</v>
      </c>
    </row>
    <row r="251" customFormat="false" ht="15" hidden="false" customHeight="false" outlineLevel="0" collapsed="false">
      <c r="B251" s="12" t="s">
        <v>136</v>
      </c>
      <c r="C251" s="12" t="s">
        <v>310</v>
      </c>
      <c r="D251" s="13" t="s">
        <v>691</v>
      </c>
      <c r="E251" s="12" t="s">
        <v>81</v>
      </c>
      <c r="F251" s="12" t="s">
        <v>318</v>
      </c>
      <c r="G251" s="13" t="s">
        <v>689</v>
      </c>
      <c r="H251" s="22" t="n">
        <v>5</v>
      </c>
      <c r="I251" s="12" t="s">
        <v>288</v>
      </c>
      <c r="J251" s="12" t="s">
        <v>315</v>
      </c>
      <c r="K251" s="22" t="n">
        <v>45</v>
      </c>
      <c r="L251" s="22" t="n">
        <v>49</v>
      </c>
      <c r="M251" s="14" t="n">
        <v>0</v>
      </c>
      <c r="N251" s="14" t="n">
        <v>0</v>
      </c>
      <c r="O251" s="11" t="n">
        <f aca="false">ROUND((M251+N251)*0.18,0)</f>
        <v>0</v>
      </c>
      <c r="P251" s="11" t="n">
        <f aca="false">M251+N251+O251</f>
        <v>0</v>
      </c>
      <c r="Q251" s="13" t="s">
        <v>690</v>
      </c>
      <c r="R251" s="12" t="s">
        <v>562</v>
      </c>
      <c r="S251" s="12" t="s">
        <v>285</v>
      </c>
    </row>
    <row r="252" customFormat="false" ht="15" hidden="false" customHeight="false" outlineLevel="0" collapsed="false">
      <c r="B252" s="12" t="s">
        <v>136</v>
      </c>
      <c r="C252" s="12" t="s">
        <v>320</v>
      </c>
      <c r="D252" s="13" t="s">
        <v>695</v>
      </c>
      <c r="E252" s="12" t="s">
        <v>81</v>
      </c>
      <c r="F252" s="12" t="s">
        <v>323</v>
      </c>
      <c r="G252" s="13" t="s">
        <v>696</v>
      </c>
      <c r="H252" s="22" t="n">
        <v>8</v>
      </c>
      <c r="I252" s="12" t="s">
        <v>288</v>
      </c>
      <c r="J252" s="12" t="s">
        <v>286</v>
      </c>
      <c r="K252" s="22" t="n">
        <v>9</v>
      </c>
      <c r="L252" s="22" t="n">
        <v>16</v>
      </c>
      <c r="M252" s="14" t="n">
        <v>0</v>
      </c>
      <c r="N252" s="14" t="n">
        <v>0</v>
      </c>
      <c r="O252" s="11" t="n">
        <f aca="false">ROUND((M252+N252)*0.18,0)</f>
        <v>0</v>
      </c>
      <c r="P252" s="11" t="n">
        <f aca="false">M252+N252+O252</f>
        <v>0</v>
      </c>
      <c r="Q252" s="13" t="s">
        <v>697</v>
      </c>
      <c r="R252" s="12" t="s">
        <v>562</v>
      </c>
      <c r="S252" s="12" t="s">
        <v>563</v>
      </c>
    </row>
    <row r="253" customFormat="false" ht="15" hidden="false" customHeight="false" outlineLevel="0" collapsed="false">
      <c r="B253" s="12" t="s">
        <v>136</v>
      </c>
      <c r="C253" s="12" t="s">
        <v>320</v>
      </c>
      <c r="D253" s="13" t="s">
        <v>695</v>
      </c>
      <c r="E253" s="12" t="s">
        <v>81</v>
      </c>
      <c r="F253" s="12" t="s">
        <v>326</v>
      </c>
      <c r="G253" s="13" t="s">
        <v>687</v>
      </c>
      <c r="H253" s="22" t="n">
        <v>20</v>
      </c>
      <c r="I253" s="12" t="s">
        <v>288</v>
      </c>
      <c r="J253" s="12" t="s">
        <v>323</v>
      </c>
      <c r="K253" s="22" t="n">
        <v>17</v>
      </c>
      <c r="L253" s="22" t="n">
        <v>36</v>
      </c>
      <c r="M253" s="14" t="n">
        <v>209906240</v>
      </c>
      <c r="N253" s="14" t="n">
        <v>12451752</v>
      </c>
      <c r="O253" s="11" t="n">
        <f aca="false">ROUND((M253+N253)*0.18,0)</f>
        <v>40024439</v>
      </c>
      <c r="P253" s="11" t="n">
        <f aca="false">M253+N253+O253</f>
        <v>262382431</v>
      </c>
      <c r="Q253" s="13" t="s">
        <v>698</v>
      </c>
      <c r="R253" s="12" t="s">
        <v>562</v>
      </c>
      <c r="S253" s="12" t="s">
        <v>563</v>
      </c>
    </row>
    <row r="254" customFormat="false" ht="15" hidden="false" customHeight="false" outlineLevel="0" collapsed="false">
      <c r="B254" s="12" t="s">
        <v>136</v>
      </c>
      <c r="C254" s="12" t="s">
        <v>320</v>
      </c>
      <c r="D254" s="13" t="s">
        <v>695</v>
      </c>
      <c r="E254" s="12" t="s">
        <v>81</v>
      </c>
      <c r="F254" s="12" t="s">
        <v>329</v>
      </c>
      <c r="G254" s="13" t="s">
        <v>689</v>
      </c>
      <c r="H254" s="22" t="n">
        <v>5</v>
      </c>
      <c r="I254" s="12" t="s">
        <v>288</v>
      </c>
      <c r="J254" s="12" t="s">
        <v>326</v>
      </c>
      <c r="K254" s="22" t="n">
        <v>37</v>
      </c>
      <c r="L254" s="22" t="n">
        <v>41</v>
      </c>
      <c r="M254" s="14" t="n">
        <v>0</v>
      </c>
      <c r="N254" s="14" t="n">
        <v>0</v>
      </c>
      <c r="O254" s="11" t="n">
        <f aca="false">ROUND((M254+N254)*0.18,0)</f>
        <v>0</v>
      </c>
      <c r="P254" s="11" t="n">
        <f aca="false">M254+N254+O254</f>
        <v>0</v>
      </c>
      <c r="Q254" s="13" t="s">
        <v>690</v>
      </c>
      <c r="R254" s="12" t="s">
        <v>562</v>
      </c>
      <c r="S254" s="12" t="s">
        <v>285</v>
      </c>
    </row>
    <row r="255" customFormat="false" ht="15" hidden="false" customHeight="false" outlineLevel="0" collapsed="false">
      <c r="B255" s="8" t="s">
        <v>136</v>
      </c>
      <c r="C255" s="8" t="s">
        <v>335</v>
      </c>
      <c r="D255" s="9" t="s">
        <v>699</v>
      </c>
      <c r="E255" s="8" t="s">
        <v>299</v>
      </c>
      <c r="F255" s="8" t="s">
        <v>337</v>
      </c>
      <c r="G255" s="9" t="s">
        <v>700</v>
      </c>
      <c r="H255" s="21" t="n">
        <v>5</v>
      </c>
      <c r="I255" s="8" t="s">
        <v>288</v>
      </c>
      <c r="J255" s="8" t="s">
        <v>300</v>
      </c>
      <c r="K255" s="21" t="n">
        <v>19</v>
      </c>
      <c r="L255" s="21" t="n">
        <v>23</v>
      </c>
      <c r="M255" s="10" t="n">
        <v>12000000</v>
      </c>
      <c r="N255" s="10" t="n">
        <v>0</v>
      </c>
      <c r="O255" s="11" t="n">
        <f aca="false">ROUND((M255+N255)*0.18,0)</f>
        <v>2160000</v>
      </c>
      <c r="P255" s="11" t="n">
        <f aca="false">M255+N255+O255</f>
        <v>14160000</v>
      </c>
      <c r="Q255" s="9" t="s">
        <v>701</v>
      </c>
      <c r="R255" s="8" t="s">
        <v>284</v>
      </c>
      <c r="S255" s="8" t="s">
        <v>293</v>
      </c>
    </row>
    <row r="256" customFormat="false" ht="15" hidden="false" customHeight="false" outlineLevel="0" collapsed="false">
      <c r="B256" s="8" t="s">
        <v>136</v>
      </c>
      <c r="C256" s="8" t="s">
        <v>335</v>
      </c>
      <c r="D256" s="9" t="s">
        <v>699</v>
      </c>
      <c r="E256" s="8" t="s">
        <v>299</v>
      </c>
      <c r="F256" s="8" t="s">
        <v>340</v>
      </c>
      <c r="G256" s="9" t="s">
        <v>702</v>
      </c>
      <c r="H256" s="21" t="n">
        <v>8</v>
      </c>
      <c r="I256" s="8" t="s">
        <v>288</v>
      </c>
      <c r="J256" s="8" t="s">
        <v>312</v>
      </c>
      <c r="K256" s="21" t="n">
        <v>19</v>
      </c>
      <c r="L256" s="21" t="n">
        <v>26</v>
      </c>
      <c r="M256" s="10" t="n">
        <v>45000000</v>
      </c>
      <c r="N256" s="10" t="n">
        <v>0</v>
      </c>
      <c r="O256" s="11" t="n">
        <f aca="false">ROUND((M256+N256)*0.18,0)</f>
        <v>8100000</v>
      </c>
      <c r="P256" s="11" t="n">
        <f aca="false">M256+N256+O256</f>
        <v>53100000</v>
      </c>
      <c r="Q256" s="9" t="s">
        <v>703</v>
      </c>
      <c r="R256" s="8" t="s">
        <v>284</v>
      </c>
      <c r="S256" s="8" t="s">
        <v>293</v>
      </c>
    </row>
    <row r="257" customFormat="false" ht="15" hidden="false" customHeight="false" outlineLevel="0" collapsed="false">
      <c r="B257" s="8" t="s">
        <v>136</v>
      </c>
      <c r="C257" s="8" t="s">
        <v>335</v>
      </c>
      <c r="D257" s="9" t="s">
        <v>699</v>
      </c>
      <c r="E257" s="8" t="s">
        <v>299</v>
      </c>
      <c r="F257" s="8" t="s">
        <v>341</v>
      </c>
      <c r="G257" s="9" t="s">
        <v>704</v>
      </c>
      <c r="H257" s="21" t="n">
        <v>5</v>
      </c>
      <c r="I257" s="8" t="s">
        <v>288</v>
      </c>
      <c r="J257" s="8" t="s">
        <v>323</v>
      </c>
      <c r="K257" s="21" t="n">
        <v>17</v>
      </c>
      <c r="L257" s="21" t="n">
        <v>21</v>
      </c>
      <c r="M257" s="10" t="n">
        <v>15000000</v>
      </c>
      <c r="N257" s="10" t="n">
        <v>0</v>
      </c>
      <c r="O257" s="11" t="n">
        <f aca="false">ROUND((M257+N257)*0.18,0)</f>
        <v>2700000</v>
      </c>
      <c r="P257" s="11" t="n">
        <f aca="false">M257+N257+O257</f>
        <v>17700000</v>
      </c>
      <c r="Q257" s="9" t="s">
        <v>703</v>
      </c>
      <c r="R257" s="8" t="s">
        <v>284</v>
      </c>
      <c r="S257" s="8" t="s">
        <v>293</v>
      </c>
    </row>
    <row r="258" customFormat="false" ht="15" hidden="false" customHeight="false" outlineLevel="0" collapsed="false">
      <c r="B258" s="8" t="s">
        <v>136</v>
      </c>
      <c r="C258" s="8" t="s">
        <v>335</v>
      </c>
      <c r="D258" s="9" t="s">
        <v>699</v>
      </c>
      <c r="E258" s="8" t="s">
        <v>299</v>
      </c>
      <c r="F258" s="8" t="s">
        <v>461</v>
      </c>
      <c r="G258" s="9" t="s">
        <v>705</v>
      </c>
      <c r="H258" s="21" t="n">
        <v>3</v>
      </c>
      <c r="I258" s="8" t="s">
        <v>288</v>
      </c>
      <c r="J258" s="8" t="s">
        <v>340</v>
      </c>
      <c r="K258" s="21" t="n">
        <v>27</v>
      </c>
      <c r="L258" s="21" t="n">
        <v>29</v>
      </c>
      <c r="M258" s="10" t="n">
        <v>8000000</v>
      </c>
      <c r="N258" s="10" t="n">
        <v>0</v>
      </c>
      <c r="O258" s="11" t="n">
        <f aca="false">ROUND((M258+N258)*0.18,0)</f>
        <v>1440000</v>
      </c>
      <c r="P258" s="11" t="n">
        <f aca="false">M258+N258+O258</f>
        <v>9440000</v>
      </c>
      <c r="Q258" s="9" t="s">
        <v>706</v>
      </c>
      <c r="R258" s="8" t="s">
        <v>284</v>
      </c>
      <c r="S258" s="8" t="s">
        <v>293</v>
      </c>
    </row>
    <row r="259" customFormat="false" ht="15" hidden="false" customHeight="false" outlineLevel="0" collapsed="false">
      <c r="B259" s="8" t="s">
        <v>136</v>
      </c>
      <c r="C259" s="8" t="s">
        <v>343</v>
      </c>
      <c r="D259" s="9" t="s">
        <v>707</v>
      </c>
      <c r="E259" s="8" t="s">
        <v>345</v>
      </c>
      <c r="F259" s="8" t="s">
        <v>346</v>
      </c>
      <c r="G259" s="9" t="s">
        <v>708</v>
      </c>
      <c r="H259" s="21" t="n">
        <v>8</v>
      </c>
      <c r="I259" s="8" t="s">
        <v>288</v>
      </c>
      <c r="J259" s="8" t="s">
        <v>300</v>
      </c>
      <c r="K259" s="21" t="n">
        <v>19</v>
      </c>
      <c r="L259" s="21" t="n">
        <v>26</v>
      </c>
      <c r="M259" s="10" t="n">
        <v>45000000</v>
      </c>
      <c r="N259" s="10" t="n">
        <v>0</v>
      </c>
      <c r="O259" s="11" t="n">
        <f aca="false">ROUND((M259+N259)*0.18,0)</f>
        <v>8100000</v>
      </c>
      <c r="P259" s="11" t="n">
        <f aca="false">M259+N259+O259</f>
        <v>53100000</v>
      </c>
      <c r="Q259" s="9" t="s">
        <v>709</v>
      </c>
      <c r="R259" s="8" t="s">
        <v>284</v>
      </c>
      <c r="S259" s="8" t="s">
        <v>293</v>
      </c>
    </row>
    <row r="260" customFormat="false" ht="15" hidden="false" customHeight="false" outlineLevel="0" collapsed="false">
      <c r="B260" s="8" t="s">
        <v>136</v>
      </c>
      <c r="C260" s="8" t="s">
        <v>343</v>
      </c>
      <c r="D260" s="9" t="s">
        <v>707</v>
      </c>
      <c r="E260" s="8" t="s">
        <v>345</v>
      </c>
      <c r="F260" s="8" t="s">
        <v>348</v>
      </c>
      <c r="G260" s="9" t="s">
        <v>710</v>
      </c>
      <c r="H260" s="21" t="n">
        <v>6</v>
      </c>
      <c r="I260" s="8" t="s">
        <v>288</v>
      </c>
      <c r="J260" s="8" t="s">
        <v>346</v>
      </c>
      <c r="K260" s="21" t="n">
        <v>27</v>
      </c>
      <c r="L260" s="21" t="n">
        <v>32</v>
      </c>
      <c r="M260" s="10" t="n">
        <v>30000000</v>
      </c>
      <c r="N260" s="10" t="n">
        <v>0</v>
      </c>
      <c r="O260" s="11" t="n">
        <f aca="false">ROUND((M260+N260)*0.18,0)</f>
        <v>5400000</v>
      </c>
      <c r="P260" s="11" t="n">
        <f aca="false">M260+N260+O260</f>
        <v>35400000</v>
      </c>
      <c r="Q260" s="9" t="s">
        <v>711</v>
      </c>
      <c r="R260" s="8" t="s">
        <v>284</v>
      </c>
      <c r="S260" s="8" t="s">
        <v>293</v>
      </c>
    </row>
    <row r="261" customFormat="false" ht="15" hidden="false" customHeight="false" outlineLevel="0" collapsed="false">
      <c r="B261" s="8" t="s">
        <v>136</v>
      </c>
      <c r="C261" s="8" t="s">
        <v>343</v>
      </c>
      <c r="D261" s="9" t="s">
        <v>707</v>
      </c>
      <c r="E261" s="8" t="s">
        <v>345</v>
      </c>
      <c r="F261" s="8" t="s">
        <v>403</v>
      </c>
      <c r="G261" s="9" t="s">
        <v>712</v>
      </c>
      <c r="H261" s="21" t="n">
        <v>4</v>
      </c>
      <c r="I261" s="8" t="s">
        <v>288</v>
      </c>
      <c r="J261" s="8" t="s">
        <v>348</v>
      </c>
      <c r="K261" s="21" t="n">
        <v>33</v>
      </c>
      <c r="L261" s="21" t="n">
        <v>36</v>
      </c>
      <c r="M261" s="10" t="n">
        <v>15000000</v>
      </c>
      <c r="N261" s="10" t="n">
        <v>0</v>
      </c>
      <c r="O261" s="11" t="n">
        <f aca="false">ROUND((M261+N261)*0.18,0)</f>
        <v>2700000</v>
      </c>
      <c r="P261" s="11" t="n">
        <f aca="false">M261+N261+O261</f>
        <v>17700000</v>
      </c>
      <c r="Q261" s="9" t="s">
        <v>713</v>
      </c>
      <c r="R261" s="8" t="s">
        <v>284</v>
      </c>
      <c r="S261" s="8" t="s">
        <v>293</v>
      </c>
    </row>
    <row r="262" customFormat="false" ht="15" hidden="false" customHeight="false" outlineLevel="0" collapsed="false">
      <c r="B262" s="8" t="s">
        <v>136</v>
      </c>
      <c r="C262" s="8" t="s">
        <v>351</v>
      </c>
      <c r="D262" s="9" t="s">
        <v>714</v>
      </c>
      <c r="E262" s="8" t="s">
        <v>715</v>
      </c>
      <c r="F262" s="8" t="s">
        <v>353</v>
      </c>
      <c r="G262" s="9" t="s">
        <v>716</v>
      </c>
      <c r="H262" s="21" t="n">
        <v>7</v>
      </c>
      <c r="I262" s="8" t="s">
        <v>288</v>
      </c>
      <c r="J262" s="8" t="s">
        <v>307</v>
      </c>
      <c r="K262" s="21" t="n">
        <v>48</v>
      </c>
      <c r="L262" s="21" t="n">
        <v>54</v>
      </c>
      <c r="M262" s="10" t="n">
        <v>28000000</v>
      </c>
      <c r="N262" s="10" t="n">
        <v>0</v>
      </c>
      <c r="O262" s="11" t="n">
        <f aca="false">ROUND((M262+N262)*0.18,0)</f>
        <v>5040000</v>
      </c>
      <c r="P262" s="11" t="n">
        <f aca="false">M262+N262+O262</f>
        <v>33040000</v>
      </c>
      <c r="Q262" s="9" t="s">
        <v>717</v>
      </c>
      <c r="R262" s="8" t="s">
        <v>284</v>
      </c>
      <c r="S262" s="8" t="s">
        <v>293</v>
      </c>
    </row>
    <row r="263" customFormat="false" ht="15" hidden="false" customHeight="false" outlineLevel="0" collapsed="false">
      <c r="B263" s="8" t="s">
        <v>136</v>
      </c>
      <c r="C263" s="8" t="s">
        <v>351</v>
      </c>
      <c r="D263" s="9" t="s">
        <v>714</v>
      </c>
      <c r="E263" s="8" t="s">
        <v>715</v>
      </c>
      <c r="F263" s="8" t="s">
        <v>356</v>
      </c>
      <c r="G263" s="9" t="s">
        <v>718</v>
      </c>
      <c r="H263" s="21" t="n">
        <v>8</v>
      </c>
      <c r="I263" s="8" t="s">
        <v>288</v>
      </c>
      <c r="J263" s="8" t="s">
        <v>318</v>
      </c>
      <c r="K263" s="21" t="n">
        <v>50</v>
      </c>
      <c r="L263" s="21" t="n">
        <v>57</v>
      </c>
      <c r="M263" s="10" t="n">
        <v>40000000</v>
      </c>
      <c r="N263" s="10" t="n">
        <v>0</v>
      </c>
      <c r="O263" s="11" t="n">
        <f aca="false">ROUND((M263+N263)*0.18,0)</f>
        <v>7200000</v>
      </c>
      <c r="P263" s="11" t="n">
        <f aca="false">M263+N263+O263</f>
        <v>47200000</v>
      </c>
      <c r="Q263" s="9" t="s">
        <v>719</v>
      </c>
      <c r="R263" s="8" t="s">
        <v>284</v>
      </c>
      <c r="S263" s="8" t="s">
        <v>293</v>
      </c>
    </row>
    <row r="264" customFormat="false" ht="15" hidden="false" customHeight="false" outlineLevel="0" collapsed="false">
      <c r="B264" s="8" t="s">
        <v>136</v>
      </c>
      <c r="C264" s="8" t="s">
        <v>351</v>
      </c>
      <c r="D264" s="9" t="s">
        <v>714</v>
      </c>
      <c r="E264" s="8" t="s">
        <v>715</v>
      </c>
      <c r="F264" s="8" t="s">
        <v>408</v>
      </c>
      <c r="G264" s="9" t="s">
        <v>720</v>
      </c>
      <c r="H264" s="21" t="n">
        <v>6</v>
      </c>
      <c r="I264" s="8" t="s">
        <v>288</v>
      </c>
      <c r="J264" s="8" t="s">
        <v>329</v>
      </c>
      <c r="K264" s="21" t="n">
        <v>42</v>
      </c>
      <c r="L264" s="21" t="n">
        <v>47</v>
      </c>
      <c r="M264" s="10" t="n">
        <v>16000000</v>
      </c>
      <c r="N264" s="10" t="n">
        <v>0</v>
      </c>
      <c r="O264" s="11" t="n">
        <f aca="false">ROUND((M264+N264)*0.18,0)</f>
        <v>2880000</v>
      </c>
      <c r="P264" s="11" t="n">
        <f aca="false">M264+N264+O264</f>
        <v>18880000</v>
      </c>
      <c r="Q264" s="9" t="s">
        <v>719</v>
      </c>
      <c r="R264" s="8" t="s">
        <v>284</v>
      </c>
      <c r="S264" s="8" t="s">
        <v>293</v>
      </c>
    </row>
    <row r="265" customFormat="false" ht="15" hidden="false" customHeight="false" outlineLevel="0" collapsed="false">
      <c r="B265" s="8" t="s">
        <v>136</v>
      </c>
      <c r="C265" s="8" t="s">
        <v>351</v>
      </c>
      <c r="D265" s="9" t="s">
        <v>714</v>
      </c>
      <c r="E265" s="8" t="s">
        <v>715</v>
      </c>
      <c r="F265" s="8" t="s">
        <v>410</v>
      </c>
      <c r="G265" s="9" t="s">
        <v>721</v>
      </c>
      <c r="H265" s="21" t="n">
        <v>8</v>
      </c>
      <c r="I265" s="8" t="s">
        <v>288</v>
      </c>
      <c r="J265" s="8" t="s">
        <v>356</v>
      </c>
      <c r="K265" s="21" t="n">
        <v>58</v>
      </c>
      <c r="L265" s="21" t="n">
        <v>65</v>
      </c>
      <c r="M265" s="10" t="n">
        <v>35000000</v>
      </c>
      <c r="N265" s="10" t="n">
        <v>0</v>
      </c>
      <c r="O265" s="11" t="n">
        <f aca="false">ROUND((M265+N265)*0.18,0)</f>
        <v>6300000</v>
      </c>
      <c r="P265" s="11" t="n">
        <f aca="false">M265+N265+O265</f>
        <v>41300000</v>
      </c>
      <c r="Q265" s="9" t="s">
        <v>722</v>
      </c>
      <c r="R265" s="8" t="s">
        <v>284</v>
      </c>
      <c r="S265" s="8" t="s">
        <v>293</v>
      </c>
    </row>
    <row r="266" customFormat="false" ht="15" hidden="false" customHeight="false" outlineLevel="0" collapsed="false">
      <c r="B266" s="8" t="s">
        <v>136</v>
      </c>
      <c r="C266" s="8" t="s">
        <v>351</v>
      </c>
      <c r="D266" s="9" t="s">
        <v>714</v>
      </c>
      <c r="E266" s="8" t="s">
        <v>715</v>
      </c>
      <c r="F266" s="8" t="s">
        <v>723</v>
      </c>
      <c r="G266" s="9" t="s">
        <v>724</v>
      </c>
      <c r="H266" s="21" t="n">
        <v>16</v>
      </c>
      <c r="I266" s="8" t="s">
        <v>384</v>
      </c>
      <c r="J266" s="8" t="s">
        <v>353</v>
      </c>
      <c r="K266" s="21" t="n">
        <v>48</v>
      </c>
      <c r="L266" s="21" t="n">
        <v>63</v>
      </c>
      <c r="M266" s="10" t="n">
        <v>22000000</v>
      </c>
      <c r="N266" s="10" t="n">
        <v>0</v>
      </c>
      <c r="O266" s="11" t="n">
        <f aca="false">ROUND((M266+N266)*0.18,0)</f>
        <v>3960000</v>
      </c>
      <c r="P266" s="11" t="n">
        <f aca="false">M266+N266+O266</f>
        <v>25960000</v>
      </c>
      <c r="Q266" s="9" t="s">
        <v>725</v>
      </c>
      <c r="R266" s="8" t="s">
        <v>284</v>
      </c>
      <c r="S266" s="8" t="s">
        <v>285</v>
      </c>
    </row>
    <row r="267" customFormat="false" ht="15" hidden="false" customHeight="false" outlineLevel="0" collapsed="false">
      <c r="B267" s="12" t="s">
        <v>136</v>
      </c>
      <c r="C267" s="12" t="s">
        <v>359</v>
      </c>
      <c r="D267" s="13" t="s">
        <v>726</v>
      </c>
      <c r="E267" s="12" t="s">
        <v>361</v>
      </c>
      <c r="F267" s="12" t="s">
        <v>362</v>
      </c>
      <c r="G267" s="13" t="s">
        <v>727</v>
      </c>
      <c r="H267" s="22" t="n">
        <v>4</v>
      </c>
      <c r="I267" s="12" t="s">
        <v>288</v>
      </c>
      <c r="J267" s="12" t="s">
        <v>410</v>
      </c>
      <c r="K267" s="22" t="n">
        <v>66</v>
      </c>
      <c r="L267" s="22" t="n">
        <v>69</v>
      </c>
      <c r="M267" s="14" t="n">
        <v>0</v>
      </c>
      <c r="N267" s="14" t="n">
        <v>0</v>
      </c>
      <c r="O267" s="11" t="n">
        <f aca="false">ROUND((M267+N267)*0.18,0)</f>
        <v>0</v>
      </c>
      <c r="P267" s="11" t="n">
        <f aca="false">M267+N267+O267</f>
        <v>0</v>
      </c>
      <c r="Q267" s="13" t="s">
        <v>728</v>
      </c>
      <c r="R267" s="12" t="s">
        <v>562</v>
      </c>
      <c r="S267" s="12" t="s">
        <v>563</v>
      </c>
    </row>
    <row r="268" customFormat="false" ht="15" hidden="false" customHeight="false" outlineLevel="0" collapsed="false">
      <c r="B268" s="12" t="s">
        <v>136</v>
      </c>
      <c r="C268" s="12" t="s">
        <v>359</v>
      </c>
      <c r="D268" s="13" t="s">
        <v>726</v>
      </c>
      <c r="E268" s="12" t="s">
        <v>361</v>
      </c>
      <c r="F268" s="12" t="s">
        <v>364</v>
      </c>
      <c r="G268" s="13" t="s">
        <v>729</v>
      </c>
      <c r="H268" s="22" t="n">
        <v>3</v>
      </c>
      <c r="I268" s="12" t="s">
        <v>288</v>
      </c>
      <c r="J268" s="12" t="s">
        <v>362</v>
      </c>
      <c r="K268" s="22" t="n">
        <v>70</v>
      </c>
      <c r="L268" s="22" t="n">
        <v>72</v>
      </c>
      <c r="M268" s="14" t="n">
        <v>0</v>
      </c>
      <c r="N268" s="14" t="n">
        <v>0</v>
      </c>
      <c r="O268" s="11" t="n">
        <f aca="false">ROUND((M268+N268)*0.18,0)</f>
        <v>0</v>
      </c>
      <c r="P268" s="11" t="n">
        <f aca="false">M268+N268+O268</f>
        <v>0</v>
      </c>
      <c r="Q268" s="13" t="s">
        <v>730</v>
      </c>
      <c r="R268" s="12" t="s">
        <v>562</v>
      </c>
      <c r="S268" s="12" t="s">
        <v>563</v>
      </c>
    </row>
    <row r="269" customFormat="false" ht="15" hidden="false" customHeight="false" outlineLevel="0" collapsed="false">
      <c r="B269" s="8" t="s">
        <v>136</v>
      </c>
      <c r="C269" s="8" t="s">
        <v>359</v>
      </c>
      <c r="D269" s="9" t="s">
        <v>726</v>
      </c>
      <c r="E269" s="8" t="s">
        <v>361</v>
      </c>
      <c r="F269" s="8" t="s">
        <v>623</v>
      </c>
      <c r="G269" s="9" t="s">
        <v>731</v>
      </c>
      <c r="H269" s="21" t="n">
        <v>3</v>
      </c>
      <c r="I269" s="8" t="s">
        <v>288</v>
      </c>
      <c r="J269" s="8" t="s">
        <v>364</v>
      </c>
      <c r="K269" s="21" t="n">
        <v>73</v>
      </c>
      <c r="L269" s="21" t="n">
        <v>75</v>
      </c>
      <c r="M269" s="10" t="n">
        <v>6000000</v>
      </c>
      <c r="N269" s="10" t="n">
        <v>0</v>
      </c>
      <c r="O269" s="11" t="n">
        <f aca="false">ROUND((M269+N269)*0.18,0)</f>
        <v>1080000</v>
      </c>
      <c r="P269" s="11" t="n">
        <f aca="false">M269+N269+O269</f>
        <v>7080000</v>
      </c>
      <c r="Q269" s="9" t="s">
        <v>732</v>
      </c>
      <c r="R269" s="8" t="s">
        <v>284</v>
      </c>
      <c r="S269" s="8" t="s">
        <v>285</v>
      </c>
    </row>
    <row r="270" customFormat="false" ht="15" hidden="false" customHeight="false" outlineLevel="0" collapsed="false">
      <c r="B270" s="8" t="s">
        <v>136</v>
      </c>
      <c r="C270" s="8" t="s">
        <v>359</v>
      </c>
      <c r="D270" s="9" t="s">
        <v>726</v>
      </c>
      <c r="E270" s="8" t="s">
        <v>361</v>
      </c>
      <c r="F270" s="8" t="s">
        <v>624</v>
      </c>
      <c r="G270" s="9" t="s">
        <v>733</v>
      </c>
      <c r="H270" s="21" t="n">
        <v>2</v>
      </c>
      <c r="I270" s="8" t="s">
        <v>288</v>
      </c>
      <c r="J270" s="8" t="s">
        <v>623</v>
      </c>
      <c r="K270" s="21" t="n">
        <v>76</v>
      </c>
      <c r="L270" s="21" t="n">
        <v>77</v>
      </c>
      <c r="M270" s="10" t="n">
        <v>6000000</v>
      </c>
      <c r="N270" s="10" t="n">
        <v>0</v>
      </c>
      <c r="O270" s="11" t="n">
        <f aca="false">ROUND((M270+N270)*0.18,0)</f>
        <v>1080000</v>
      </c>
      <c r="P270" s="11" t="n">
        <f aca="false">M270+N270+O270</f>
        <v>7080000</v>
      </c>
      <c r="Q270" s="9" t="s">
        <v>734</v>
      </c>
      <c r="R270" s="8" t="s">
        <v>284</v>
      </c>
      <c r="S270" s="8" t="s">
        <v>285</v>
      </c>
    </row>
    <row r="271" customFormat="false" ht="15" hidden="false" customHeight="false" outlineLevel="0" collapsed="false">
      <c r="B271" s="8" t="s">
        <v>136</v>
      </c>
      <c r="C271" s="8" t="s">
        <v>359</v>
      </c>
      <c r="D271" s="9" t="s">
        <v>726</v>
      </c>
      <c r="E271" s="8" t="s">
        <v>361</v>
      </c>
      <c r="F271" s="8" t="s">
        <v>735</v>
      </c>
      <c r="G271" s="9" t="s">
        <v>736</v>
      </c>
      <c r="H271" s="21" t="n">
        <v>4</v>
      </c>
      <c r="I271" s="8" t="s">
        <v>384</v>
      </c>
      <c r="J271" s="8" t="s">
        <v>362</v>
      </c>
      <c r="K271" s="21" t="n">
        <v>66</v>
      </c>
      <c r="L271" s="21" t="n">
        <v>69</v>
      </c>
      <c r="M271" s="10" t="n">
        <v>12000000</v>
      </c>
      <c r="N271" s="10" t="n">
        <v>0</v>
      </c>
      <c r="O271" s="11" t="n">
        <f aca="false">ROUND((M271+N271)*0.18,0)</f>
        <v>2160000</v>
      </c>
      <c r="P271" s="11" t="n">
        <f aca="false">M271+N271+O271</f>
        <v>14160000</v>
      </c>
      <c r="Q271" s="9" t="s">
        <v>737</v>
      </c>
      <c r="R271" s="8" t="s">
        <v>284</v>
      </c>
      <c r="S271" s="8" t="s">
        <v>293</v>
      </c>
    </row>
    <row r="272" customFormat="false" ht="22.35" hidden="false" customHeight="false" outlineLevel="0" collapsed="false">
      <c r="B272" s="8" t="s">
        <v>179</v>
      </c>
      <c r="C272" s="8" t="s">
        <v>279</v>
      </c>
      <c r="D272" s="9" t="s">
        <v>738</v>
      </c>
      <c r="E272" s="8" t="s">
        <v>739</v>
      </c>
      <c r="F272" s="8" t="s">
        <v>281</v>
      </c>
      <c r="G272" s="9" t="s">
        <v>740</v>
      </c>
      <c r="H272" s="21" t="n">
        <v>4</v>
      </c>
      <c r="I272" s="8"/>
      <c r="J272" s="8"/>
      <c r="K272" s="21" t="n">
        <v>1</v>
      </c>
      <c r="L272" s="21" t="n">
        <v>4</v>
      </c>
      <c r="M272" s="10" t="n">
        <v>6000000</v>
      </c>
      <c r="N272" s="10" t="n">
        <v>0</v>
      </c>
      <c r="O272" s="11" t="n">
        <f aca="false">ROUND((M272+N272)*0.18,0)</f>
        <v>1080000</v>
      </c>
      <c r="P272" s="11" t="n">
        <f aca="false">M272+N272+O272</f>
        <v>7080000</v>
      </c>
      <c r="Q272" s="9" t="s">
        <v>741</v>
      </c>
      <c r="R272" s="8" t="s">
        <v>284</v>
      </c>
      <c r="S272" s="8" t="s">
        <v>285</v>
      </c>
    </row>
    <row r="273" customFormat="false" ht="15" hidden="false" customHeight="false" outlineLevel="0" collapsed="false">
      <c r="B273" s="8" t="s">
        <v>179</v>
      </c>
      <c r="C273" s="8" t="s">
        <v>279</v>
      </c>
      <c r="D273" s="9" t="s">
        <v>738</v>
      </c>
      <c r="E273" s="8" t="s">
        <v>739</v>
      </c>
      <c r="F273" s="8" t="s">
        <v>286</v>
      </c>
      <c r="G273" s="9" t="s">
        <v>742</v>
      </c>
      <c r="H273" s="21" t="n">
        <v>3</v>
      </c>
      <c r="I273" s="8" t="s">
        <v>288</v>
      </c>
      <c r="J273" s="8" t="s">
        <v>281</v>
      </c>
      <c r="K273" s="21" t="n">
        <v>5</v>
      </c>
      <c r="L273" s="21" t="n">
        <v>7</v>
      </c>
      <c r="M273" s="10" t="n">
        <v>0</v>
      </c>
      <c r="N273" s="10" t="n">
        <v>0</v>
      </c>
      <c r="O273" s="11" t="n">
        <f aca="false">ROUND((M273+N273)*0.18,0)</f>
        <v>0</v>
      </c>
      <c r="P273" s="11" t="n">
        <f aca="false">M273+N273+O273</f>
        <v>0</v>
      </c>
      <c r="Q273" s="9" t="s">
        <v>743</v>
      </c>
      <c r="R273" s="8" t="s">
        <v>284</v>
      </c>
      <c r="S273" s="8" t="s">
        <v>285</v>
      </c>
    </row>
    <row r="274" customFormat="false" ht="15" hidden="false" customHeight="false" outlineLevel="0" collapsed="false">
      <c r="B274" s="8" t="s">
        <v>179</v>
      </c>
      <c r="C274" s="8" t="s">
        <v>279</v>
      </c>
      <c r="D274" s="9" t="s">
        <v>738</v>
      </c>
      <c r="E274" s="8" t="s">
        <v>739</v>
      </c>
      <c r="F274" s="8" t="s">
        <v>290</v>
      </c>
      <c r="G274" s="9" t="s">
        <v>744</v>
      </c>
      <c r="H274" s="21" t="n">
        <v>5</v>
      </c>
      <c r="I274" s="8" t="s">
        <v>288</v>
      </c>
      <c r="J274" s="8" t="s">
        <v>286</v>
      </c>
      <c r="K274" s="21" t="n">
        <v>8</v>
      </c>
      <c r="L274" s="21" t="n">
        <v>12</v>
      </c>
      <c r="M274" s="10" t="n">
        <v>0</v>
      </c>
      <c r="N274" s="10" t="n">
        <v>0</v>
      </c>
      <c r="O274" s="11" t="n">
        <f aca="false">ROUND((M274+N274)*0.18,0)</f>
        <v>0</v>
      </c>
      <c r="P274" s="11" t="n">
        <f aca="false">M274+N274+O274</f>
        <v>0</v>
      </c>
      <c r="Q274" s="9" t="s">
        <v>745</v>
      </c>
      <c r="R274" s="8" t="s">
        <v>284</v>
      </c>
      <c r="S274" s="8" t="s">
        <v>285</v>
      </c>
    </row>
    <row r="275" customFormat="false" ht="15" hidden="false" customHeight="false" outlineLevel="0" collapsed="false">
      <c r="B275" s="8" t="s">
        <v>179</v>
      </c>
      <c r="C275" s="8" t="s">
        <v>279</v>
      </c>
      <c r="D275" s="9" t="s">
        <v>738</v>
      </c>
      <c r="E275" s="8" t="s">
        <v>739</v>
      </c>
      <c r="F275" s="8" t="s">
        <v>294</v>
      </c>
      <c r="G275" s="9" t="s">
        <v>746</v>
      </c>
      <c r="H275" s="21" t="n">
        <v>3</v>
      </c>
      <c r="I275" s="8" t="s">
        <v>288</v>
      </c>
      <c r="J275" s="8" t="s">
        <v>290</v>
      </c>
      <c r="K275" s="21" t="n">
        <v>13</v>
      </c>
      <c r="L275" s="21" t="n">
        <v>15</v>
      </c>
      <c r="M275" s="10" t="n">
        <v>4000000</v>
      </c>
      <c r="N275" s="10" t="n">
        <v>0</v>
      </c>
      <c r="O275" s="11" t="n">
        <f aca="false">ROUND((M275+N275)*0.18,0)</f>
        <v>720000</v>
      </c>
      <c r="P275" s="11" t="n">
        <f aca="false">M275+N275+O275</f>
        <v>4720000</v>
      </c>
      <c r="Q275" s="9" t="s">
        <v>747</v>
      </c>
      <c r="R275" s="8" t="s">
        <v>284</v>
      </c>
      <c r="S275" s="8" t="s">
        <v>293</v>
      </c>
    </row>
    <row r="276" customFormat="false" ht="15" hidden="false" customHeight="false" outlineLevel="0" collapsed="false">
      <c r="B276" s="8" t="s">
        <v>179</v>
      </c>
      <c r="C276" s="8" t="s">
        <v>297</v>
      </c>
      <c r="D276" s="9" t="s">
        <v>748</v>
      </c>
      <c r="E276" s="8" t="s">
        <v>749</v>
      </c>
      <c r="F276" s="8" t="s">
        <v>300</v>
      </c>
      <c r="G276" s="9" t="s">
        <v>750</v>
      </c>
      <c r="H276" s="21" t="n">
        <v>20</v>
      </c>
      <c r="I276" s="8" t="s">
        <v>288</v>
      </c>
      <c r="J276" s="8" t="s">
        <v>294</v>
      </c>
      <c r="K276" s="21" t="n">
        <v>16</v>
      </c>
      <c r="L276" s="21" t="n">
        <v>35</v>
      </c>
      <c r="M276" s="10" t="n">
        <v>175000000</v>
      </c>
      <c r="N276" s="10" t="n">
        <v>8750000</v>
      </c>
      <c r="O276" s="11" t="n">
        <f aca="false">ROUND((M276+N276)*0.18,0)</f>
        <v>33075000</v>
      </c>
      <c r="P276" s="11" t="n">
        <f aca="false">M276+N276+O276</f>
        <v>216825000</v>
      </c>
      <c r="Q276" s="9" t="s">
        <v>751</v>
      </c>
      <c r="R276" s="8" t="s">
        <v>284</v>
      </c>
      <c r="S276" s="8" t="s">
        <v>293</v>
      </c>
    </row>
    <row r="277" customFormat="false" ht="15" hidden="false" customHeight="false" outlineLevel="0" collapsed="false">
      <c r="B277" s="8" t="s">
        <v>179</v>
      </c>
      <c r="C277" s="8" t="s">
        <v>297</v>
      </c>
      <c r="D277" s="9" t="s">
        <v>748</v>
      </c>
      <c r="E277" s="8" t="s">
        <v>749</v>
      </c>
      <c r="F277" s="8" t="s">
        <v>304</v>
      </c>
      <c r="G277" s="9" t="s">
        <v>752</v>
      </c>
      <c r="H277" s="21" t="n">
        <v>8</v>
      </c>
      <c r="I277" s="8" t="s">
        <v>288</v>
      </c>
      <c r="J277" s="8" t="s">
        <v>300</v>
      </c>
      <c r="K277" s="21" t="n">
        <v>36</v>
      </c>
      <c r="L277" s="21" t="n">
        <v>43</v>
      </c>
      <c r="M277" s="10" t="n">
        <v>0</v>
      </c>
      <c r="N277" s="10" t="n">
        <v>0</v>
      </c>
      <c r="O277" s="11" t="n">
        <f aca="false">ROUND((M277+N277)*0.18,0)</f>
        <v>0</v>
      </c>
      <c r="P277" s="11" t="n">
        <f aca="false">M277+N277+O277</f>
        <v>0</v>
      </c>
      <c r="Q277" s="9" t="s">
        <v>753</v>
      </c>
      <c r="R277" s="8" t="s">
        <v>284</v>
      </c>
      <c r="S277" s="8" t="s">
        <v>293</v>
      </c>
    </row>
    <row r="278" customFormat="false" ht="15" hidden="false" customHeight="false" outlineLevel="0" collapsed="false">
      <c r="B278" s="8" t="s">
        <v>179</v>
      </c>
      <c r="C278" s="8" t="s">
        <v>297</v>
      </c>
      <c r="D278" s="9" t="s">
        <v>748</v>
      </c>
      <c r="E278" s="8" t="s">
        <v>749</v>
      </c>
      <c r="F278" s="8" t="s">
        <v>307</v>
      </c>
      <c r="G278" s="9" t="s">
        <v>754</v>
      </c>
      <c r="H278" s="21" t="n">
        <v>6</v>
      </c>
      <c r="I278" s="8" t="s">
        <v>288</v>
      </c>
      <c r="J278" s="8" t="s">
        <v>304</v>
      </c>
      <c r="K278" s="21" t="n">
        <v>44</v>
      </c>
      <c r="L278" s="21" t="n">
        <v>49</v>
      </c>
      <c r="M278" s="10" t="n">
        <v>0</v>
      </c>
      <c r="N278" s="10" t="n">
        <v>0</v>
      </c>
      <c r="O278" s="11" t="n">
        <f aca="false">ROUND((M278+N278)*0.18,0)</f>
        <v>0</v>
      </c>
      <c r="P278" s="11" t="n">
        <f aca="false">M278+N278+O278</f>
        <v>0</v>
      </c>
      <c r="Q278" s="9" t="s">
        <v>755</v>
      </c>
      <c r="R278" s="8" t="s">
        <v>284</v>
      </c>
      <c r="S278" s="8" t="s">
        <v>293</v>
      </c>
    </row>
    <row r="279" customFormat="false" ht="15" hidden="false" customHeight="false" outlineLevel="0" collapsed="false">
      <c r="B279" s="8" t="s">
        <v>179</v>
      </c>
      <c r="C279" s="8" t="s">
        <v>310</v>
      </c>
      <c r="D279" s="9" t="s">
        <v>756</v>
      </c>
      <c r="E279" s="8" t="s">
        <v>749</v>
      </c>
      <c r="F279" s="8" t="s">
        <v>312</v>
      </c>
      <c r="G279" s="9" t="s">
        <v>757</v>
      </c>
      <c r="H279" s="21" t="n">
        <v>20</v>
      </c>
      <c r="I279" s="8" t="s">
        <v>288</v>
      </c>
      <c r="J279" s="8" t="s">
        <v>294</v>
      </c>
      <c r="K279" s="21" t="n">
        <v>16</v>
      </c>
      <c r="L279" s="21" t="n">
        <v>35</v>
      </c>
      <c r="M279" s="10" t="n">
        <v>120000000</v>
      </c>
      <c r="N279" s="10" t="n">
        <v>6000000</v>
      </c>
      <c r="O279" s="11" t="n">
        <f aca="false">ROUND((M279+N279)*0.18,0)</f>
        <v>22680000</v>
      </c>
      <c r="P279" s="11" t="n">
        <f aca="false">M279+N279+O279</f>
        <v>148680000</v>
      </c>
      <c r="Q279" s="9" t="s">
        <v>758</v>
      </c>
      <c r="R279" s="8" t="s">
        <v>284</v>
      </c>
      <c r="S279" s="8" t="s">
        <v>293</v>
      </c>
    </row>
    <row r="280" customFormat="false" ht="15" hidden="false" customHeight="false" outlineLevel="0" collapsed="false">
      <c r="B280" s="8" t="s">
        <v>179</v>
      </c>
      <c r="C280" s="8" t="s">
        <v>310</v>
      </c>
      <c r="D280" s="9" t="s">
        <v>756</v>
      </c>
      <c r="E280" s="8" t="s">
        <v>749</v>
      </c>
      <c r="F280" s="8" t="s">
        <v>315</v>
      </c>
      <c r="G280" s="9" t="s">
        <v>754</v>
      </c>
      <c r="H280" s="21" t="n">
        <v>6</v>
      </c>
      <c r="I280" s="8" t="s">
        <v>288</v>
      </c>
      <c r="J280" s="8" t="s">
        <v>312</v>
      </c>
      <c r="K280" s="21" t="n">
        <v>36</v>
      </c>
      <c r="L280" s="21" t="n">
        <v>41</v>
      </c>
      <c r="M280" s="10" t="n">
        <v>0</v>
      </c>
      <c r="N280" s="10" t="n">
        <v>0</v>
      </c>
      <c r="O280" s="11" t="n">
        <f aca="false">ROUND((M280+N280)*0.18,0)</f>
        <v>0</v>
      </c>
      <c r="P280" s="11" t="n">
        <f aca="false">M280+N280+O280</f>
        <v>0</v>
      </c>
      <c r="Q280" s="9" t="s">
        <v>759</v>
      </c>
      <c r="R280" s="8" t="s">
        <v>284</v>
      </c>
      <c r="S280" s="8" t="s">
        <v>293</v>
      </c>
    </row>
    <row r="281" customFormat="false" ht="15" hidden="false" customHeight="false" outlineLevel="0" collapsed="false">
      <c r="B281" s="8" t="s">
        <v>179</v>
      </c>
      <c r="C281" s="8" t="s">
        <v>320</v>
      </c>
      <c r="D281" s="9" t="s">
        <v>760</v>
      </c>
      <c r="E281" s="8" t="s">
        <v>749</v>
      </c>
      <c r="F281" s="8" t="s">
        <v>323</v>
      </c>
      <c r="G281" s="9" t="s">
        <v>761</v>
      </c>
      <c r="H281" s="21" t="n">
        <v>12</v>
      </c>
      <c r="I281" s="8" t="s">
        <v>288</v>
      </c>
      <c r="J281" s="8" t="s">
        <v>294</v>
      </c>
      <c r="K281" s="21" t="n">
        <v>16</v>
      </c>
      <c r="L281" s="21" t="n">
        <v>27</v>
      </c>
      <c r="M281" s="10" t="n">
        <v>60000000</v>
      </c>
      <c r="N281" s="10" t="n">
        <v>3000000</v>
      </c>
      <c r="O281" s="11" t="n">
        <f aca="false">ROUND((M281+N281)*0.18,0)</f>
        <v>11340000</v>
      </c>
      <c r="P281" s="11" t="n">
        <f aca="false">M281+N281+O281</f>
        <v>74340000</v>
      </c>
      <c r="Q281" s="9" t="s">
        <v>762</v>
      </c>
      <c r="R281" s="8" t="s">
        <v>284</v>
      </c>
      <c r="S281" s="8" t="s">
        <v>293</v>
      </c>
    </row>
    <row r="282" customFormat="false" ht="15" hidden="false" customHeight="false" outlineLevel="0" collapsed="false">
      <c r="B282" s="8" t="s">
        <v>179</v>
      </c>
      <c r="C282" s="8" t="s">
        <v>335</v>
      </c>
      <c r="D282" s="9" t="s">
        <v>763</v>
      </c>
      <c r="E282" s="8" t="s">
        <v>345</v>
      </c>
      <c r="F282" s="8" t="s">
        <v>337</v>
      </c>
      <c r="G282" s="9" t="s">
        <v>764</v>
      </c>
      <c r="H282" s="21" t="n">
        <v>6</v>
      </c>
      <c r="I282" s="8" t="s">
        <v>288</v>
      </c>
      <c r="J282" s="8" t="s">
        <v>307</v>
      </c>
      <c r="K282" s="21" t="n">
        <v>50</v>
      </c>
      <c r="L282" s="21" t="n">
        <v>55</v>
      </c>
      <c r="M282" s="10" t="n">
        <v>22000000</v>
      </c>
      <c r="N282" s="10" t="n">
        <v>0</v>
      </c>
      <c r="O282" s="11" t="n">
        <f aca="false">ROUND((M282+N282)*0.18,0)</f>
        <v>3960000</v>
      </c>
      <c r="P282" s="11" t="n">
        <f aca="false">M282+N282+O282</f>
        <v>25960000</v>
      </c>
      <c r="Q282" s="9" t="s">
        <v>765</v>
      </c>
      <c r="R282" s="8" t="s">
        <v>284</v>
      </c>
      <c r="S282" s="8" t="s">
        <v>293</v>
      </c>
    </row>
    <row r="283" customFormat="false" ht="15" hidden="false" customHeight="false" outlineLevel="0" collapsed="false">
      <c r="B283" s="8" t="s">
        <v>179</v>
      </c>
      <c r="C283" s="8" t="s">
        <v>335</v>
      </c>
      <c r="D283" s="9" t="s">
        <v>763</v>
      </c>
      <c r="E283" s="8" t="s">
        <v>345</v>
      </c>
      <c r="F283" s="8" t="s">
        <v>340</v>
      </c>
      <c r="G283" s="9" t="s">
        <v>766</v>
      </c>
      <c r="H283" s="21" t="n">
        <v>4</v>
      </c>
      <c r="I283" s="8" t="s">
        <v>288</v>
      </c>
      <c r="J283" s="8" t="s">
        <v>337</v>
      </c>
      <c r="K283" s="21" t="n">
        <v>56</v>
      </c>
      <c r="L283" s="21" t="n">
        <v>59</v>
      </c>
      <c r="M283" s="10" t="n">
        <v>8000000</v>
      </c>
      <c r="N283" s="10" t="n">
        <v>0</v>
      </c>
      <c r="O283" s="11" t="n">
        <f aca="false">ROUND((M283+N283)*0.18,0)</f>
        <v>1440000</v>
      </c>
      <c r="P283" s="11" t="n">
        <f aca="false">M283+N283+O283</f>
        <v>9440000</v>
      </c>
      <c r="Q283" s="9" t="s">
        <v>767</v>
      </c>
      <c r="R283" s="8" t="s">
        <v>284</v>
      </c>
      <c r="S283" s="8" t="s">
        <v>285</v>
      </c>
    </row>
    <row r="284" customFormat="false" ht="15" hidden="false" customHeight="false" outlineLevel="0" collapsed="false">
      <c r="B284" s="8" t="s">
        <v>179</v>
      </c>
      <c r="C284" s="8" t="s">
        <v>335</v>
      </c>
      <c r="D284" s="9" t="s">
        <v>763</v>
      </c>
      <c r="E284" s="8" t="s">
        <v>345</v>
      </c>
      <c r="F284" s="8" t="s">
        <v>341</v>
      </c>
      <c r="G284" s="9" t="s">
        <v>768</v>
      </c>
      <c r="H284" s="21" t="n">
        <v>6</v>
      </c>
      <c r="I284" s="8" t="s">
        <v>288</v>
      </c>
      <c r="J284" s="8" t="s">
        <v>340</v>
      </c>
      <c r="K284" s="21" t="n">
        <v>60</v>
      </c>
      <c r="L284" s="21" t="n">
        <v>65</v>
      </c>
      <c r="M284" s="10" t="n">
        <v>12000000</v>
      </c>
      <c r="N284" s="10" t="n">
        <v>0</v>
      </c>
      <c r="O284" s="11" t="n">
        <f aca="false">ROUND((M284+N284)*0.18,0)</f>
        <v>2160000</v>
      </c>
      <c r="P284" s="11" t="n">
        <f aca="false">M284+N284+O284</f>
        <v>14160000</v>
      </c>
      <c r="Q284" s="9" t="s">
        <v>769</v>
      </c>
      <c r="R284" s="8" t="s">
        <v>284</v>
      </c>
      <c r="S284" s="8" t="s">
        <v>293</v>
      </c>
    </row>
    <row r="285" customFormat="false" ht="15" hidden="false" customHeight="false" outlineLevel="0" collapsed="false">
      <c r="B285" s="8" t="s">
        <v>179</v>
      </c>
      <c r="C285" s="8" t="s">
        <v>343</v>
      </c>
      <c r="D285" s="9" t="s">
        <v>770</v>
      </c>
      <c r="E285" s="8" t="s">
        <v>771</v>
      </c>
      <c r="F285" s="8" t="s">
        <v>346</v>
      </c>
      <c r="G285" s="9" t="s">
        <v>772</v>
      </c>
      <c r="H285" s="21" t="n">
        <v>3</v>
      </c>
      <c r="I285" s="8" t="s">
        <v>288</v>
      </c>
      <c r="J285" s="8" t="s">
        <v>307</v>
      </c>
      <c r="K285" s="21" t="n">
        <v>50</v>
      </c>
      <c r="L285" s="21" t="n">
        <v>52</v>
      </c>
      <c r="M285" s="10" t="n">
        <v>18000000</v>
      </c>
      <c r="N285" s="10" t="n">
        <v>0</v>
      </c>
      <c r="O285" s="11" t="n">
        <f aca="false">ROUND((M285+N285)*0.18,0)</f>
        <v>3240000</v>
      </c>
      <c r="P285" s="11" t="n">
        <f aca="false">M285+N285+O285</f>
        <v>21240000</v>
      </c>
      <c r="Q285" s="9" t="s">
        <v>773</v>
      </c>
      <c r="R285" s="8" t="s">
        <v>284</v>
      </c>
      <c r="S285" s="8" t="s">
        <v>293</v>
      </c>
    </row>
    <row r="286" customFormat="false" ht="15" hidden="false" customHeight="false" outlineLevel="0" collapsed="false">
      <c r="B286" s="8" t="s">
        <v>179</v>
      </c>
      <c r="C286" s="8" t="s">
        <v>343</v>
      </c>
      <c r="D286" s="9" t="s">
        <v>770</v>
      </c>
      <c r="E286" s="8" t="s">
        <v>771</v>
      </c>
      <c r="F286" s="8" t="s">
        <v>348</v>
      </c>
      <c r="G286" s="9" t="s">
        <v>774</v>
      </c>
      <c r="H286" s="21" t="n">
        <v>2</v>
      </c>
      <c r="I286" s="8" t="s">
        <v>288</v>
      </c>
      <c r="J286" s="8" t="s">
        <v>346</v>
      </c>
      <c r="K286" s="21" t="n">
        <v>53</v>
      </c>
      <c r="L286" s="21" t="n">
        <v>54</v>
      </c>
      <c r="M286" s="10" t="n">
        <v>20000000</v>
      </c>
      <c r="N286" s="10" t="n">
        <v>0</v>
      </c>
      <c r="O286" s="11" t="n">
        <f aca="false">ROUND((M286+N286)*0.18,0)</f>
        <v>3600000</v>
      </c>
      <c r="P286" s="11" t="n">
        <f aca="false">M286+N286+O286</f>
        <v>23600000</v>
      </c>
      <c r="Q286" s="9" t="s">
        <v>775</v>
      </c>
      <c r="R286" s="8" t="s">
        <v>284</v>
      </c>
      <c r="S286" s="8" t="s">
        <v>293</v>
      </c>
    </row>
    <row r="287" customFormat="false" ht="15" hidden="false" customHeight="false" outlineLevel="0" collapsed="false">
      <c r="B287" s="8" t="s">
        <v>179</v>
      </c>
      <c r="C287" s="8" t="s">
        <v>343</v>
      </c>
      <c r="D287" s="9" t="s">
        <v>770</v>
      </c>
      <c r="E287" s="8" t="s">
        <v>771</v>
      </c>
      <c r="F287" s="8" t="s">
        <v>403</v>
      </c>
      <c r="G287" s="9" t="s">
        <v>776</v>
      </c>
      <c r="H287" s="21" t="n">
        <v>3</v>
      </c>
      <c r="I287" s="8" t="s">
        <v>288</v>
      </c>
      <c r="J287" s="8" t="s">
        <v>348</v>
      </c>
      <c r="K287" s="21" t="n">
        <v>55</v>
      </c>
      <c r="L287" s="21" t="n">
        <v>57</v>
      </c>
      <c r="M287" s="10" t="n">
        <v>6000000</v>
      </c>
      <c r="N287" s="10" t="n">
        <v>0</v>
      </c>
      <c r="O287" s="11" t="n">
        <f aca="false">ROUND((M287+N287)*0.18,0)</f>
        <v>1080000</v>
      </c>
      <c r="P287" s="11" t="n">
        <f aca="false">M287+N287+O287</f>
        <v>7080000</v>
      </c>
      <c r="Q287" s="9" t="s">
        <v>777</v>
      </c>
      <c r="R287" s="8" t="s">
        <v>284</v>
      </c>
      <c r="S287" s="8" t="s">
        <v>293</v>
      </c>
    </row>
    <row r="288" customFormat="false" ht="15" hidden="false" customHeight="false" outlineLevel="0" collapsed="false">
      <c r="B288" s="8" t="s">
        <v>179</v>
      </c>
      <c r="C288" s="8" t="s">
        <v>351</v>
      </c>
      <c r="D288" s="9" t="s">
        <v>778</v>
      </c>
      <c r="E288" s="8" t="s">
        <v>345</v>
      </c>
      <c r="F288" s="8" t="s">
        <v>353</v>
      </c>
      <c r="G288" s="9" t="s">
        <v>779</v>
      </c>
      <c r="H288" s="21" t="n">
        <v>6</v>
      </c>
      <c r="I288" s="8" t="s">
        <v>288</v>
      </c>
      <c r="J288" s="8" t="s">
        <v>294</v>
      </c>
      <c r="K288" s="21" t="n">
        <v>16</v>
      </c>
      <c r="L288" s="21" t="n">
        <v>21</v>
      </c>
      <c r="M288" s="10" t="n">
        <v>25000000</v>
      </c>
      <c r="N288" s="10" t="n">
        <v>0</v>
      </c>
      <c r="O288" s="11" t="n">
        <f aca="false">ROUND((M288+N288)*0.18,0)</f>
        <v>4500000</v>
      </c>
      <c r="P288" s="11" t="n">
        <f aca="false">M288+N288+O288</f>
        <v>29500000</v>
      </c>
      <c r="Q288" s="9" t="s">
        <v>780</v>
      </c>
      <c r="R288" s="8" t="s">
        <v>284</v>
      </c>
      <c r="S288" s="8" t="s">
        <v>293</v>
      </c>
    </row>
    <row r="289" customFormat="false" ht="15" hidden="false" customHeight="false" outlineLevel="0" collapsed="false">
      <c r="B289" s="8" t="s">
        <v>179</v>
      </c>
      <c r="C289" s="8" t="s">
        <v>351</v>
      </c>
      <c r="D289" s="9" t="s">
        <v>778</v>
      </c>
      <c r="E289" s="8" t="s">
        <v>345</v>
      </c>
      <c r="F289" s="8" t="s">
        <v>356</v>
      </c>
      <c r="G289" s="9" t="s">
        <v>781</v>
      </c>
      <c r="H289" s="21" t="n">
        <v>4</v>
      </c>
      <c r="I289" s="8" t="s">
        <v>288</v>
      </c>
      <c r="J289" s="8" t="s">
        <v>353</v>
      </c>
      <c r="K289" s="21" t="n">
        <v>22</v>
      </c>
      <c r="L289" s="21" t="n">
        <v>25</v>
      </c>
      <c r="M289" s="10" t="n">
        <v>15000000</v>
      </c>
      <c r="N289" s="10" t="n">
        <v>0</v>
      </c>
      <c r="O289" s="11" t="n">
        <f aca="false">ROUND((M289+N289)*0.18,0)</f>
        <v>2700000</v>
      </c>
      <c r="P289" s="11" t="n">
        <f aca="false">M289+N289+O289</f>
        <v>17700000</v>
      </c>
      <c r="Q289" s="9" t="s">
        <v>782</v>
      </c>
      <c r="R289" s="8" t="s">
        <v>284</v>
      </c>
      <c r="S289" s="8" t="s">
        <v>293</v>
      </c>
    </row>
    <row r="290" customFormat="false" ht="15" hidden="false" customHeight="false" outlineLevel="0" collapsed="false">
      <c r="B290" s="8" t="s">
        <v>179</v>
      </c>
      <c r="C290" s="8" t="s">
        <v>359</v>
      </c>
      <c r="D290" s="9" t="s">
        <v>783</v>
      </c>
      <c r="E290" s="8" t="s">
        <v>784</v>
      </c>
      <c r="F290" s="8" t="s">
        <v>362</v>
      </c>
      <c r="G290" s="9" t="s">
        <v>785</v>
      </c>
      <c r="H290" s="21" t="n">
        <v>8</v>
      </c>
      <c r="I290" s="8" t="s">
        <v>288</v>
      </c>
      <c r="J290" s="8" t="s">
        <v>403</v>
      </c>
      <c r="K290" s="21" t="n">
        <v>58</v>
      </c>
      <c r="L290" s="21" t="n">
        <v>65</v>
      </c>
      <c r="M290" s="10" t="n">
        <v>0</v>
      </c>
      <c r="N290" s="10" t="n">
        <v>0</v>
      </c>
      <c r="O290" s="11" t="n">
        <f aca="false">ROUND((M290+N290)*0.18,0)</f>
        <v>0</v>
      </c>
      <c r="P290" s="11" t="n">
        <f aca="false">M290+N290+O290</f>
        <v>0</v>
      </c>
      <c r="Q290" s="9" t="s">
        <v>786</v>
      </c>
      <c r="R290" s="8" t="s">
        <v>284</v>
      </c>
      <c r="S290" s="8" t="s">
        <v>285</v>
      </c>
    </row>
    <row r="291" customFormat="false" ht="15" hidden="false" customHeight="false" outlineLevel="0" collapsed="false">
      <c r="B291" s="8" t="s">
        <v>179</v>
      </c>
      <c r="C291" s="8" t="s">
        <v>359</v>
      </c>
      <c r="D291" s="9" t="s">
        <v>783</v>
      </c>
      <c r="E291" s="8" t="s">
        <v>784</v>
      </c>
      <c r="F291" s="8" t="s">
        <v>364</v>
      </c>
      <c r="G291" s="9" t="s">
        <v>787</v>
      </c>
      <c r="H291" s="21" t="n">
        <v>3</v>
      </c>
      <c r="I291" s="8" t="s">
        <v>288</v>
      </c>
      <c r="J291" s="8" t="s">
        <v>362</v>
      </c>
      <c r="K291" s="21" t="n">
        <v>66</v>
      </c>
      <c r="L291" s="21" t="n">
        <v>68</v>
      </c>
      <c r="M291" s="10" t="n">
        <v>8000000</v>
      </c>
      <c r="N291" s="10" t="n">
        <v>0</v>
      </c>
      <c r="O291" s="11" t="n">
        <f aca="false">ROUND((M291+N291)*0.18,0)</f>
        <v>1440000</v>
      </c>
      <c r="P291" s="11" t="n">
        <f aca="false">M291+N291+O291</f>
        <v>9440000</v>
      </c>
      <c r="Q291" s="9" t="s">
        <v>788</v>
      </c>
      <c r="R291" s="8" t="s">
        <v>284</v>
      </c>
      <c r="S291" s="8" t="s">
        <v>285</v>
      </c>
    </row>
    <row r="292" customFormat="false" ht="15" hidden="false" customHeight="false" outlineLevel="0" collapsed="false">
      <c r="B292" s="8" t="s">
        <v>179</v>
      </c>
      <c r="C292" s="8" t="s">
        <v>359</v>
      </c>
      <c r="D292" s="9" t="s">
        <v>783</v>
      </c>
      <c r="E292" s="8" t="s">
        <v>784</v>
      </c>
      <c r="F292" s="8" t="s">
        <v>623</v>
      </c>
      <c r="G292" s="9" t="s">
        <v>789</v>
      </c>
      <c r="H292" s="21" t="n">
        <v>4</v>
      </c>
      <c r="I292" s="8" t="s">
        <v>288</v>
      </c>
      <c r="J292" s="8" t="s">
        <v>364</v>
      </c>
      <c r="K292" s="21" t="n">
        <v>69</v>
      </c>
      <c r="L292" s="21" t="n">
        <v>72</v>
      </c>
      <c r="M292" s="10" t="n">
        <v>10000000</v>
      </c>
      <c r="N292" s="10" t="n">
        <v>0</v>
      </c>
      <c r="O292" s="11" t="n">
        <f aca="false">ROUND((M292+N292)*0.18,0)</f>
        <v>1800000</v>
      </c>
      <c r="P292" s="11" t="n">
        <f aca="false">M292+N292+O292</f>
        <v>11800000</v>
      </c>
      <c r="Q292" s="9" t="s">
        <v>790</v>
      </c>
      <c r="R292" s="8" t="s">
        <v>284</v>
      </c>
      <c r="S292" s="8" t="s">
        <v>293</v>
      </c>
    </row>
    <row r="293" customFormat="false" ht="15" hidden="false" customHeight="false" outlineLevel="0" collapsed="false">
      <c r="B293" s="8" t="s">
        <v>179</v>
      </c>
      <c r="C293" s="8" t="s">
        <v>359</v>
      </c>
      <c r="D293" s="9" t="s">
        <v>783</v>
      </c>
      <c r="E293" s="8" t="s">
        <v>784</v>
      </c>
      <c r="F293" s="8" t="s">
        <v>624</v>
      </c>
      <c r="G293" s="9" t="s">
        <v>425</v>
      </c>
      <c r="H293" s="21" t="n">
        <v>2</v>
      </c>
      <c r="I293" s="8" t="s">
        <v>288</v>
      </c>
      <c r="J293" s="8" t="s">
        <v>623</v>
      </c>
      <c r="K293" s="21" t="n">
        <v>73</v>
      </c>
      <c r="L293" s="21" t="n">
        <v>74</v>
      </c>
      <c r="M293" s="10" t="n">
        <v>4000000</v>
      </c>
      <c r="N293" s="10" t="n">
        <v>0</v>
      </c>
      <c r="O293" s="11" t="n">
        <f aca="false">ROUND((M293+N293)*0.18,0)</f>
        <v>720000</v>
      </c>
      <c r="P293" s="11" t="n">
        <f aca="false">M293+N293+O293</f>
        <v>4720000</v>
      </c>
      <c r="Q293" s="9" t="s">
        <v>161</v>
      </c>
      <c r="R293" s="8" t="s">
        <v>284</v>
      </c>
      <c r="S293" s="8" t="s">
        <v>293</v>
      </c>
    </row>
    <row r="294" customFormat="false" ht="22.35" hidden="false" customHeight="false" outlineLevel="0" collapsed="false">
      <c r="B294" s="8" t="s">
        <v>145</v>
      </c>
      <c r="C294" s="8" t="s">
        <v>279</v>
      </c>
      <c r="D294" s="9" t="s">
        <v>791</v>
      </c>
      <c r="E294" s="8" t="s">
        <v>792</v>
      </c>
      <c r="F294" s="8" t="s">
        <v>281</v>
      </c>
      <c r="G294" s="9" t="s">
        <v>793</v>
      </c>
      <c r="H294" s="21" t="n">
        <v>4</v>
      </c>
      <c r="I294" s="8"/>
      <c r="J294" s="8"/>
      <c r="K294" s="21" t="n">
        <v>1</v>
      </c>
      <c r="L294" s="21" t="n">
        <v>4</v>
      </c>
      <c r="M294" s="10" t="n">
        <v>5000000</v>
      </c>
      <c r="N294" s="10" t="n">
        <v>0</v>
      </c>
      <c r="O294" s="11" t="n">
        <f aca="false">ROUND((M294+N294)*0.18,0)</f>
        <v>900000</v>
      </c>
      <c r="P294" s="11" t="n">
        <f aca="false">M294+N294+O294</f>
        <v>5900000</v>
      </c>
      <c r="Q294" s="9" t="s">
        <v>794</v>
      </c>
      <c r="R294" s="8" t="s">
        <v>284</v>
      </c>
      <c r="S294" s="8" t="s">
        <v>285</v>
      </c>
    </row>
    <row r="295" customFormat="false" ht="22.35" hidden="false" customHeight="false" outlineLevel="0" collapsed="false">
      <c r="B295" s="8" t="s">
        <v>145</v>
      </c>
      <c r="C295" s="8" t="s">
        <v>279</v>
      </c>
      <c r="D295" s="9" t="s">
        <v>791</v>
      </c>
      <c r="E295" s="8" t="s">
        <v>792</v>
      </c>
      <c r="F295" s="8" t="s">
        <v>286</v>
      </c>
      <c r="G295" s="9" t="s">
        <v>795</v>
      </c>
      <c r="H295" s="21" t="n">
        <v>3</v>
      </c>
      <c r="I295" s="8" t="s">
        <v>288</v>
      </c>
      <c r="J295" s="8" t="s">
        <v>281</v>
      </c>
      <c r="K295" s="21" t="n">
        <v>5</v>
      </c>
      <c r="L295" s="21" t="n">
        <v>7</v>
      </c>
      <c r="M295" s="10" t="n">
        <v>0</v>
      </c>
      <c r="N295" s="10" t="n">
        <v>0</v>
      </c>
      <c r="O295" s="11" t="n">
        <f aca="false">ROUND((M295+N295)*0.18,0)</f>
        <v>0</v>
      </c>
      <c r="P295" s="11" t="n">
        <f aca="false">M295+N295+O295</f>
        <v>0</v>
      </c>
      <c r="Q295" s="9" t="s">
        <v>796</v>
      </c>
      <c r="R295" s="8" t="s">
        <v>284</v>
      </c>
      <c r="S295" s="8" t="s">
        <v>285</v>
      </c>
    </row>
    <row r="296" customFormat="false" ht="15" hidden="false" customHeight="false" outlineLevel="0" collapsed="false">
      <c r="B296" s="8" t="s">
        <v>145</v>
      </c>
      <c r="C296" s="8" t="s">
        <v>279</v>
      </c>
      <c r="D296" s="9" t="s">
        <v>791</v>
      </c>
      <c r="E296" s="8" t="s">
        <v>792</v>
      </c>
      <c r="F296" s="8" t="s">
        <v>290</v>
      </c>
      <c r="G296" s="9" t="s">
        <v>797</v>
      </c>
      <c r="H296" s="21" t="n">
        <v>4</v>
      </c>
      <c r="I296" s="8" t="s">
        <v>288</v>
      </c>
      <c r="J296" s="8" t="s">
        <v>286</v>
      </c>
      <c r="K296" s="21" t="n">
        <v>8</v>
      </c>
      <c r="L296" s="21" t="n">
        <v>11</v>
      </c>
      <c r="M296" s="10" t="n">
        <v>6000000</v>
      </c>
      <c r="N296" s="10" t="n">
        <v>0</v>
      </c>
      <c r="O296" s="11" t="n">
        <f aca="false">ROUND((M296+N296)*0.18,0)</f>
        <v>1080000</v>
      </c>
      <c r="P296" s="11" t="n">
        <f aca="false">M296+N296+O296</f>
        <v>7080000</v>
      </c>
      <c r="Q296" s="9" t="s">
        <v>798</v>
      </c>
      <c r="R296" s="8" t="s">
        <v>284</v>
      </c>
      <c r="S296" s="8" t="s">
        <v>293</v>
      </c>
    </row>
    <row r="297" customFormat="false" ht="15" hidden="false" customHeight="false" outlineLevel="0" collapsed="false">
      <c r="B297" s="8" t="s">
        <v>145</v>
      </c>
      <c r="C297" s="8" t="s">
        <v>297</v>
      </c>
      <c r="D297" s="9" t="s">
        <v>799</v>
      </c>
      <c r="E297" s="8" t="s">
        <v>800</v>
      </c>
      <c r="F297" s="8" t="s">
        <v>300</v>
      </c>
      <c r="G297" s="9" t="s">
        <v>801</v>
      </c>
      <c r="H297" s="21" t="n">
        <v>4</v>
      </c>
      <c r="I297" s="8" t="s">
        <v>288</v>
      </c>
      <c r="J297" s="8" t="s">
        <v>286</v>
      </c>
      <c r="K297" s="21" t="n">
        <v>8</v>
      </c>
      <c r="L297" s="21" t="n">
        <v>11</v>
      </c>
      <c r="M297" s="10" t="n">
        <v>0</v>
      </c>
      <c r="N297" s="10" t="n">
        <v>0</v>
      </c>
      <c r="O297" s="11" t="n">
        <f aca="false">ROUND((M297+N297)*0.18,0)</f>
        <v>0</v>
      </c>
      <c r="P297" s="11" t="n">
        <f aca="false">M297+N297+O297</f>
        <v>0</v>
      </c>
      <c r="Q297" s="9" t="s">
        <v>802</v>
      </c>
      <c r="R297" s="8" t="s">
        <v>284</v>
      </c>
      <c r="S297" s="8" t="s">
        <v>285</v>
      </c>
    </row>
    <row r="298" customFormat="false" ht="15" hidden="false" customHeight="false" outlineLevel="0" collapsed="false">
      <c r="B298" s="8" t="s">
        <v>145</v>
      </c>
      <c r="C298" s="8" t="s">
        <v>297</v>
      </c>
      <c r="D298" s="9" t="s">
        <v>799</v>
      </c>
      <c r="E298" s="8" t="s">
        <v>800</v>
      </c>
      <c r="F298" s="8" t="s">
        <v>304</v>
      </c>
      <c r="G298" s="9" t="s">
        <v>803</v>
      </c>
      <c r="H298" s="21" t="n">
        <v>12</v>
      </c>
      <c r="I298" s="8" t="s">
        <v>288</v>
      </c>
      <c r="J298" s="8" t="s">
        <v>300</v>
      </c>
      <c r="K298" s="21" t="n">
        <v>12</v>
      </c>
      <c r="L298" s="21" t="n">
        <v>23</v>
      </c>
      <c r="M298" s="10" t="n">
        <v>100000000</v>
      </c>
      <c r="N298" s="10" t="n">
        <v>0</v>
      </c>
      <c r="O298" s="11" t="n">
        <f aca="false">ROUND((M298+N298)*0.18,0)</f>
        <v>18000000</v>
      </c>
      <c r="P298" s="11" t="n">
        <f aca="false">M298+N298+O298</f>
        <v>118000000</v>
      </c>
      <c r="Q298" s="9" t="s">
        <v>804</v>
      </c>
      <c r="R298" s="8" t="s">
        <v>303</v>
      </c>
      <c r="S298" s="8" t="s">
        <v>285</v>
      </c>
    </row>
    <row r="299" customFormat="false" ht="15" hidden="false" customHeight="false" outlineLevel="0" collapsed="false">
      <c r="B299" s="8" t="s">
        <v>145</v>
      </c>
      <c r="C299" s="8" t="s">
        <v>297</v>
      </c>
      <c r="D299" s="9" t="s">
        <v>799</v>
      </c>
      <c r="E299" s="8" t="s">
        <v>800</v>
      </c>
      <c r="F299" s="8" t="s">
        <v>307</v>
      </c>
      <c r="G299" s="9" t="s">
        <v>805</v>
      </c>
      <c r="H299" s="21" t="n">
        <v>6</v>
      </c>
      <c r="I299" s="8" t="s">
        <v>288</v>
      </c>
      <c r="J299" s="8" t="s">
        <v>304</v>
      </c>
      <c r="K299" s="21" t="n">
        <v>24</v>
      </c>
      <c r="L299" s="21" t="n">
        <v>29</v>
      </c>
      <c r="M299" s="10" t="n">
        <v>0</v>
      </c>
      <c r="N299" s="10" t="n">
        <v>0</v>
      </c>
      <c r="O299" s="11" t="n">
        <f aca="false">ROUND((M299+N299)*0.18,0)</f>
        <v>0</v>
      </c>
      <c r="P299" s="11" t="n">
        <f aca="false">M299+N299+O299</f>
        <v>0</v>
      </c>
      <c r="Q299" s="9" t="s">
        <v>806</v>
      </c>
      <c r="R299" s="8" t="s">
        <v>284</v>
      </c>
      <c r="S299" s="8" t="s">
        <v>293</v>
      </c>
    </row>
    <row r="300" customFormat="false" ht="15" hidden="false" customHeight="false" outlineLevel="0" collapsed="false">
      <c r="B300" s="8" t="s">
        <v>145</v>
      </c>
      <c r="C300" s="8" t="s">
        <v>297</v>
      </c>
      <c r="D300" s="9" t="s">
        <v>799</v>
      </c>
      <c r="E300" s="8" t="s">
        <v>800</v>
      </c>
      <c r="F300" s="8" t="s">
        <v>445</v>
      </c>
      <c r="G300" s="9" t="s">
        <v>807</v>
      </c>
      <c r="H300" s="21" t="n">
        <v>8</v>
      </c>
      <c r="I300" s="8" t="s">
        <v>288</v>
      </c>
      <c r="J300" s="8" t="s">
        <v>307</v>
      </c>
      <c r="K300" s="21" t="n">
        <v>30</v>
      </c>
      <c r="L300" s="21" t="n">
        <v>37</v>
      </c>
      <c r="M300" s="10" t="n">
        <v>0</v>
      </c>
      <c r="N300" s="10" t="n">
        <v>0</v>
      </c>
      <c r="O300" s="11" t="n">
        <f aca="false">ROUND((M300+N300)*0.18,0)</f>
        <v>0</v>
      </c>
      <c r="P300" s="11" t="n">
        <f aca="false">M300+N300+O300</f>
        <v>0</v>
      </c>
      <c r="Q300" s="9" t="s">
        <v>808</v>
      </c>
      <c r="R300" s="8" t="s">
        <v>284</v>
      </c>
      <c r="S300" s="8" t="s">
        <v>293</v>
      </c>
    </row>
    <row r="301" customFormat="false" ht="15" hidden="false" customHeight="false" outlineLevel="0" collapsed="false">
      <c r="B301" s="8" t="s">
        <v>145</v>
      </c>
      <c r="C301" s="8" t="s">
        <v>310</v>
      </c>
      <c r="D301" s="9" t="s">
        <v>809</v>
      </c>
      <c r="E301" s="8" t="s">
        <v>810</v>
      </c>
      <c r="F301" s="8" t="s">
        <v>312</v>
      </c>
      <c r="G301" s="9" t="s">
        <v>811</v>
      </c>
      <c r="H301" s="21" t="n">
        <v>4</v>
      </c>
      <c r="I301" s="8" t="s">
        <v>288</v>
      </c>
      <c r="J301" s="8" t="s">
        <v>286</v>
      </c>
      <c r="K301" s="21" t="n">
        <v>8</v>
      </c>
      <c r="L301" s="21" t="n">
        <v>11</v>
      </c>
      <c r="M301" s="10" t="n">
        <v>0</v>
      </c>
      <c r="N301" s="10" t="n">
        <v>0</v>
      </c>
      <c r="O301" s="11" t="n">
        <f aca="false">ROUND((M301+N301)*0.18,0)</f>
        <v>0</v>
      </c>
      <c r="P301" s="11" t="n">
        <f aca="false">M301+N301+O301</f>
        <v>0</v>
      </c>
      <c r="Q301" s="9" t="s">
        <v>812</v>
      </c>
      <c r="R301" s="8" t="s">
        <v>284</v>
      </c>
      <c r="S301" s="8" t="s">
        <v>285</v>
      </c>
    </row>
    <row r="302" customFormat="false" ht="15" hidden="false" customHeight="false" outlineLevel="0" collapsed="false">
      <c r="B302" s="8" t="s">
        <v>145</v>
      </c>
      <c r="C302" s="8" t="s">
        <v>310</v>
      </c>
      <c r="D302" s="9" t="s">
        <v>809</v>
      </c>
      <c r="E302" s="8" t="s">
        <v>810</v>
      </c>
      <c r="F302" s="8" t="s">
        <v>315</v>
      </c>
      <c r="G302" s="9" t="s">
        <v>813</v>
      </c>
      <c r="H302" s="21" t="n">
        <v>14</v>
      </c>
      <c r="I302" s="8" t="s">
        <v>288</v>
      </c>
      <c r="J302" s="8" t="s">
        <v>312</v>
      </c>
      <c r="K302" s="21" t="n">
        <v>12</v>
      </c>
      <c r="L302" s="21" t="n">
        <v>25</v>
      </c>
      <c r="M302" s="10" t="n">
        <v>15000000</v>
      </c>
      <c r="N302" s="10" t="n">
        <v>0</v>
      </c>
      <c r="O302" s="11" t="n">
        <f aca="false">ROUND((M302+N302)*0.18,0)</f>
        <v>2700000</v>
      </c>
      <c r="P302" s="11" t="n">
        <f aca="false">M302+N302+O302</f>
        <v>17700000</v>
      </c>
      <c r="Q302" s="9" t="s">
        <v>814</v>
      </c>
      <c r="R302" s="8" t="s">
        <v>303</v>
      </c>
      <c r="S302" s="8" t="s">
        <v>285</v>
      </c>
    </row>
    <row r="303" customFormat="false" ht="15" hidden="false" customHeight="false" outlineLevel="0" collapsed="false">
      <c r="B303" s="8" t="s">
        <v>145</v>
      </c>
      <c r="C303" s="8" t="s">
        <v>310</v>
      </c>
      <c r="D303" s="9" t="s">
        <v>809</v>
      </c>
      <c r="E303" s="8" t="s">
        <v>810</v>
      </c>
      <c r="F303" s="8" t="s">
        <v>318</v>
      </c>
      <c r="G303" s="9" t="s">
        <v>815</v>
      </c>
      <c r="H303" s="21" t="n">
        <v>6</v>
      </c>
      <c r="I303" s="8" t="s">
        <v>288</v>
      </c>
      <c r="J303" s="8" t="s">
        <v>315</v>
      </c>
      <c r="K303" s="21" t="n">
        <v>26</v>
      </c>
      <c r="L303" s="21" t="n">
        <v>31</v>
      </c>
      <c r="M303" s="10" t="n">
        <v>0</v>
      </c>
      <c r="N303" s="10" t="n">
        <v>0</v>
      </c>
      <c r="O303" s="11" t="n">
        <f aca="false">ROUND((M303+N303)*0.18,0)</f>
        <v>0</v>
      </c>
      <c r="P303" s="11" t="n">
        <f aca="false">M303+N303+O303</f>
        <v>0</v>
      </c>
      <c r="Q303" s="9" t="s">
        <v>816</v>
      </c>
      <c r="R303" s="8" t="s">
        <v>284</v>
      </c>
      <c r="S303" s="8" t="s">
        <v>293</v>
      </c>
    </row>
    <row r="304" customFormat="false" ht="15" hidden="false" customHeight="false" outlineLevel="0" collapsed="false">
      <c r="B304" s="8" t="s">
        <v>145</v>
      </c>
      <c r="C304" s="8" t="s">
        <v>310</v>
      </c>
      <c r="D304" s="9" t="s">
        <v>809</v>
      </c>
      <c r="E304" s="8" t="s">
        <v>810</v>
      </c>
      <c r="F304" s="8" t="s">
        <v>451</v>
      </c>
      <c r="G304" s="9" t="s">
        <v>817</v>
      </c>
      <c r="H304" s="21" t="n">
        <v>4</v>
      </c>
      <c r="I304" s="8" t="s">
        <v>288</v>
      </c>
      <c r="J304" s="8" t="s">
        <v>318</v>
      </c>
      <c r="K304" s="21" t="n">
        <v>32</v>
      </c>
      <c r="L304" s="21" t="n">
        <v>35</v>
      </c>
      <c r="M304" s="10" t="n">
        <v>0</v>
      </c>
      <c r="N304" s="10" t="n">
        <v>0</v>
      </c>
      <c r="O304" s="11" t="n">
        <f aca="false">ROUND((M304+N304)*0.18,0)</f>
        <v>0</v>
      </c>
      <c r="P304" s="11" t="n">
        <f aca="false">M304+N304+O304</f>
        <v>0</v>
      </c>
      <c r="Q304" s="9" t="s">
        <v>818</v>
      </c>
      <c r="R304" s="8" t="s">
        <v>284</v>
      </c>
      <c r="S304" s="8" t="s">
        <v>293</v>
      </c>
    </row>
    <row r="305" customFormat="false" ht="15" hidden="false" customHeight="false" outlineLevel="0" collapsed="false">
      <c r="B305" s="8" t="s">
        <v>164</v>
      </c>
      <c r="C305" s="8" t="s">
        <v>279</v>
      </c>
      <c r="D305" s="9" t="s">
        <v>819</v>
      </c>
      <c r="E305" s="8" t="s">
        <v>361</v>
      </c>
      <c r="F305" s="8" t="s">
        <v>281</v>
      </c>
      <c r="G305" s="9" t="s">
        <v>820</v>
      </c>
      <c r="H305" s="21" t="n">
        <v>6</v>
      </c>
      <c r="I305" s="8"/>
      <c r="J305" s="8"/>
      <c r="K305" s="21" t="n">
        <v>1</v>
      </c>
      <c r="L305" s="21" t="n">
        <v>6</v>
      </c>
      <c r="M305" s="10" t="n">
        <v>4000000</v>
      </c>
      <c r="N305" s="10" t="n">
        <v>0</v>
      </c>
      <c r="O305" s="11" t="n">
        <f aca="false">ROUND((M305+N305)*0.18,0)</f>
        <v>720000</v>
      </c>
      <c r="P305" s="11" t="n">
        <f aca="false">M305+N305+O305</f>
        <v>4720000</v>
      </c>
      <c r="Q305" s="9" t="s">
        <v>821</v>
      </c>
      <c r="R305" s="8" t="s">
        <v>284</v>
      </c>
      <c r="S305" s="8" t="s">
        <v>293</v>
      </c>
    </row>
    <row r="306" customFormat="false" ht="15" hidden="false" customHeight="false" outlineLevel="0" collapsed="false">
      <c r="B306" s="8" t="s">
        <v>164</v>
      </c>
      <c r="C306" s="8" t="s">
        <v>279</v>
      </c>
      <c r="D306" s="9" t="s">
        <v>819</v>
      </c>
      <c r="E306" s="8" t="s">
        <v>361</v>
      </c>
      <c r="F306" s="8" t="s">
        <v>286</v>
      </c>
      <c r="G306" s="9" t="s">
        <v>822</v>
      </c>
      <c r="H306" s="21" t="n">
        <v>4</v>
      </c>
      <c r="I306" s="8" t="s">
        <v>288</v>
      </c>
      <c r="J306" s="8" t="s">
        <v>281</v>
      </c>
      <c r="K306" s="21" t="n">
        <v>7</v>
      </c>
      <c r="L306" s="21" t="n">
        <v>10</v>
      </c>
      <c r="M306" s="10" t="n">
        <v>0</v>
      </c>
      <c r="N306" s="10" t="n">
        <v>0</v>
      </c>
      <c r="O306" s="11" t="n">
        <f aca="false">ROUND((M306+N306)*0.18,0)</f>
        <v>0</v>
      </c>
      <c r="P306" s="11" t="n">
        <f aca="false">M306+N306+O306</f>
        <v>0</v>
      </c>
      <c r="Q306" s="9" t="s">
        <v>823</v>
      </c>
      <c r="R306" s="8" t="s">
        <v>284</v>
      </c>
      <c r="S306" s="8" t="s">
        <v>293</v>
      </c>
    </row>
    <row r="307" customFormat="false" ht="15" hidden="false" customHeight="false" outlineLevel="0" collapsed="false">
      <c r="B307" s="8" t="s">
        <v>164</v>
      </c>
      <c r="C307" s="8" t="s">
        <v>279</v>
      </c>
      <c r="D307" s="9" t="s">
        <v>819</v>
      </c>
      <c r="E307" s="8" t="s">
        <v>361</v>
      </c>
      <c r="F307" s="8" t="s">
        <v>290</v>
      </c>
      <c r="G307" s="9" t="s">
        <v>824</v>
      </c>
      <c r="H307" s="21" t="n">
        <v>6</v>
      </c>
      <c r="I307" s="8" t="s">
        <v>288</v>
      </c>
      <c r="J307" s="8" t="s">
        <v>286</v>
      </c>
      <c r="K307" s="21" t="n">
        <v>11</v>
      </c>
      <c r="L307" s="21" t="n">
        <v>16</v>
      </c>
      <c r="M307" s="10" t="n">
        <v>2000000</v>
      </c>
      <c r="N307" s="10" t="n">
        <v>0</v>
      </c>
      <c r="O307" s="11" t="n">
        <f aca="false">ROUND((M307+N307)*0.18,0)</f>
        <v>360000</v>
      </c>
      <c r="P307" s="11" t="n">
        <f aca="false">M307+N307+O307</f>
        <v>2360000</v>
      </c>
      <c r="Q307" s="9" t="s">
        <v>825</v>
      </c>
      <c r="R307" s="8" t="s">
        <v>284</v>
      </c>
      <c r="S307" s="8" t="s">
        <v>293</v>
      </c>
    </row>
    <row r="308" customFormat="false" ht="15" hidden="false" customHeight="false" outlineLevel="0" collapsed="false">
      <c r="B308" s="12" t="s">
        <v>164</v>
      </c>
      <c r="C308" s="12" t="s">
        <v>297</v>
      </c>
      <c r="D308" s="13" t="s">
        <v>826</v>
      </c>
      <c r="E308" s="12" t="s">
        <v>626</v>
      </c>
      <c r="F308" s="12" t="s">
        <v>300</v>
      </c>
      <c r="G308" s="13" t="s">
        <v>827</v>
      </c>
      <c r="H308" s="22" t="n">
        <v>14</v>
      </c>
      <c r="I308" s="12" t="s">
        <v>288</v>
      </c>
      <c r="J308" s="12" t="s">
        <v>281</v>
      </c>
      <c r="K308" s="22" t="n">
        <v>7</v>
      </c>
      <c r="L308" s="22" t="n">
        <v>20</v>
      </c>
      <c r="M308" s="14" t="n">
        <v>12463183</v>
      </c>
      <c r="N308" s="14" t="n">
        <v>623159</v>
      </c>
      <c r="O308" s="11" t="n">
        <f aca="false">ROUND((M308+N308)*0.18,0)</f>
        <v>2355542</v>
      </c>
      <c r="P308" s="11" t="n">
        <f aca="false">M308+N308+O308</f>
        <v>15441884</v>
      </c>
      <c r="Q308" s="13" t="s">
        <v>828</v>
      </c>
      <c r="R308" s="12" t="s">
        <v>562</v>
      </c>
      <c r="S308" s="12" t="s">
        <v>285</v>
      </c>
    </row>
    <row r="309" customFormat="false" ht="15" hidden="false" customHeight="false" outlineLevel="0" collapsed="false">
      <c r="B309" s="12" t="s">
        <v>164</v>
      </c>
      <c r="C309" s="12" t="s">
        <v>297</v>
      </c>
      <c r="D309" s="13" t="s">
        <v>826</v>
      </c>
      <c r="E309" s="12" t="s">
        <v>626</v>
      </c>
      <c r="F309" s="12" t="s">
        <v>304</v>
      </c>
      <c r="G309" s="13" t="s">
        <v>829</v>
      </c>
      <c r="H309" s="22" t="n">
        <v>14</v>
      </c>
      <c r="I309" s="12" t="s">
        <v>288</v>
      </c>
      <c r="J309" s="12" t="s">
        <v>281</v>
      </c>
      <c r="K309" s="22" t="n">
        <v>7</v>
      </c>
      <c r="L309" s="22" t="n">
        <v>20</v>
      </c>
      <c r="M309" s="14" t="n">
        <v>8527441</v>
      </c>
      <c r="N309" s="14" t="n">
        <v>426372</v>
      </c>
      <c r="O309" s="11" t="n">
        <f aca="false">ROUND((M309+N309)*0.18,0)</f>
        <v>1611686</v>
      </c>
      <c r="P309" s="11" t="n">
        <f aca="false">M309+N309+O309</f>
        <v>10565499</v>
      </c>
      <c r="Q309" s="13" t="s">
        <v>830</v>
      </c>
      <c r="R309" s="12" t="s">
        <v>562</v>
      </c>
      <c r="S309" s="12" t="s">
        <v>285</v>
      </c>
    </row>
    <row r="310" customFormat="false" ht="15" hidden="false" customHeight="false" outlineLevel="0" collapsed="false">
      <c r="B310" s="12" t="s">
        <v>164</v>
      </c>
      <c r="C310" s="12" t="s">
        <v>297</v>
      </c>
      <c r="D310" s="13" t="s">
        <v>826</v>
      </c>
      <c r="E310" s="12" t="s">
        <v>626</v>
      </c>
      <c r="F310" s="12" t="s">
        <v>307</v>
      </c>
      <c r="G310" s="13" t="s">
        <v>831</v>
      </c>
      <c r="H310" s="22" t="n">
        <v>16</v>
      </c>
      <c r="I310" s="12" t="s">
        <v>288</v>
      </c>
      <c r="J310" s="12" t="s">
        <v>281</v>
      </c>
      <c r="K310" s="22" t="n">
        <v>7</v>
      </c>
      <c r="L310" s="22" t="n">
        <v>22</v>
      </c>
      <c r="M310" s="14" t="n">
        <v>26238280</v>
      </c>
      <c r="N310" s="14" t="n">
        <v>1311914</v>
      </c>
      <c r="O310" s="11" t="n">
        <f aca="false">ROUND((M310+N310)*0.18,0)</f>
        <v>4959035</v>
      </c>
      <c r="P310" s="11" t="n">
        <f aca="false">M310+N310+O310</f>
        <v>32509229</v>
      </c>
      <c r="Q310" s="13" t="s">
        <v>832</v>
      </c>
      <c r="R310" s="12" t="s">
        <v>562</v>
      </c>
      <c r="S310" s="12" t="s">
        <v>285</v>
      </c>
    </row>
    <row r="311" customFormat="false" ht="15" hidden="false" customHeight="false" outlineLevel="0" collapsed="false">
      <c r="B311" s="12" t="s">
        <v>164</v>
      </c>
      <c r="C311" s="12" t="s">
        <v>297</v>
      </c>
      <c r="D311" s="13" t="s">
        <v>826</v>
      </c>
      <c r="E311" s="12" t="s">
        <v>626</v>
      </c>
      <c r="F311" s="12" t="s">
        <v>445</v>
      </c>
      <c r="G311" s="13" t="s">
        <v>833</v>
      </c>
      <c r="H311" s="22" t="n">
        <v>14</v>
      </c>
      <c r="I311" s="12" t="s">
        <v>288</v>
      </c>
      <c r="J311" s="12" t="s">
        <v>281</v>
      </c>
      <c r="K311" s="22" t="n">
        <v>7</v>
      </c>
      <c r="L311" s="22" t="n">
        <v>20</v>
      </c>
      <c r="M311" s="14" t="n">
        <v>13119140</v>
      </c>
      <c r="N311" s="14" t="n">
        <v>655957</v>
      </c>
      <c r="O311" s="11" t="n">
        <f aca="false">ROUND((M311+N311)*0.18,0)</f>
        <v>2479517</v>
      </c>
      <c r="P311" s="11" t="n">
        <f aca="false">M311+N311+O311</f>
        <v>16254614</v>
      </c>
      <c r="Q311" s="13" t="s">
        <v>834</v>
      </c>
      <c r="R311" s="12" t="s">
        <v>562</v>
      </c>
      <c r="S311" s="12" t="s">
        <v>285</v>
      </c>
    </row>
    <row r="312" customFormat="false" ht="15" hidden="false" customHeight="false" outlineLevel="0" collapsed="false">
      <c r="B312" s="12" t="s">
        <v>164</v>
      </c>
      <c r="C312" s="12" t="s">
        <v>297</v>
      </c>
      <c r="D312" s="13" t="s">
        <v>826</v>
      </c>
      <c r="E312" s="12" t="s">
        <v>626</v>
      </c>
      <c r="F312" s="12" t="s">
        <v>486</v>
      </c>
      <c r="G312" s="13" t="s">
        <v>835</v>
      </c>
      <c r="H312" s="22" t="n">
        <v>12</v>
      </c>
      <c r="I312" s="12" t="s">
        <v>288</v>
      </c>
      <c r="J312" s="12" t="s">
        <v>281</v>
      </c>
      <c r="K312" s="22" t="n">
        <v>7</v>
      </c>
      <c r="L312" s="22" t="n">
        <v>18</v>
      </c>
      <c r="M312" s="14" t="n">
        <v>4591699</v>
      </c>
      <c r="N312" s="14" t="n">
        <v>229585</v>
      </c>
      <c r="O312" s="11" t="n">
        <f aca="false">ROUND((M312+N312)*0.18,0)</f>
        <v>867831</v>
      </c>
      <c r="P312" s="11" t="n">
        <f aca="false">M312+N312+O312</f>
        <v>5689115</v>
      </c>
      <c r="Q312" s="13" t="s">
        <v>836</v>
      </c>
      <c r="R312" s="12" t="s">
        <v>562</v>
      </c>
      <c r="S312" s="12" t="s">
        <v>285</v>
      </c>
    </row>
    <row r="313" customFormat="false" ht="15" hidden="false" customHeight="false" outlineLevel="0" collapsed="false">
      <c r="B313" s="8" t="s">
        <v>164</v>
      </c>
      <c r="C313" s="8" t="s">
        <v>310</v>
      </c>
      <c r="D313" s="9" t="s">
        <v>327</v>
      </c>
      <c r="E313" s="8" t="s">
        <v>626</v>
      </c>
      <c r="F313" s="8" t="s">
        <v>312</v>
      </c>
      <c r="G313" s="9" t="s">
        <v>837</v>
      </c>
      <c r="H313" s="21" t="n">
        <v>6</v>
      </c>
      <c r="I313" s="8" t="s">
        <v>288</v>
      </c>
      <c r="J313" s="8" t="s">
        <v>307</v>
      </c>
      <c r="K313" s="21" t="n">
        <v>23</v>
      </c>
      <c r="L313" s="21" t="n">
        <v>28</v>
      </c>
      <c r="M313" s="10" t="n">
        <v>8000000</v>
      </c>
      <c r="N313" s="10" t="n">
        <v>0</v>
      </c>
      <c r="O313" s="11" t="n">
        <f aca="false">ROUND((M313+N313)*0.18,0)</f>
        <v>1440000</v>
      </c>
      <c r="P313" s="11" t="n">
        <f aca="false">M313+N313+O313</f>
        <v>9440000</v>
      </c>
      <c r="Q313" s="9" t="s">
        <v>838</v>
      </c>
      <c r="R313" s="8" t="s">
        <v>284</v>
      </c>
      <c r="S313" s="8" t="s">
        <v>293</v>
      </c>
    </row>
    <row r="314" customFormat="false" ht="15" hidden="false" customHeight="false" outlineLevel="0" collapsed="false">
      <c r="B314" s="8" t="s">
        <v>164</v>
      </c>
      <c r="C314" s="8" t="s">
        <v>310</v>
      </c>
      <c r="D314" s="9" t="s">
        <v>327</v>
      </c>
      <c r="E314" s="8" t="s">
        <v>626</v>
      </c>
      <c r="F314" s="8" t="s">
        <v>315</v>
      </c>
      <c r="G314" s="9" t="s">
        <v>839</v>
      </c>
      <c r="H314" s="21" t="n">
        <v>2</v>
      </c>
      <c r="I314" s="8" t="s">
        <v>288</v>
      </c>
      <c r="J314" s="8" t="s">
        <v>312</v>
      </c>
      <c r="K314" s="21" t="n">
        <v>29</v>
      </c>
      <c r="L314" s="21" t="n">
        <v>30</v>
      </c>
      <c r="M314" s="10" t="n">
        <v>0</v>
      </c>
      <c r="N314" s="10" t="n">
        <v>0</v>
      </c>
      <c r="O314" s="11" t="n">
        <f aca="false">ROUND((M314+N314)*0.18,0)</f>
        <v>0</v>
      </c>
      <c r="P314" s="11" t="n">
        <f aca="false">M314+N314+O314</f>
        <v>0</v>
      </c>
      <c r="Q314" s="9" t="s">
        <v>840</v>
      </c>
      <c r="R314" s="8" t="s">
        <v>284</v>
      </c>
      <c r="S314" s="8" t="s">
        <v>293</v>
      </c>
    </row>
    <row r="315" customFormat="false" ht="22.35" hidden="false" customHeight="false" outlineLevel="0" collapsed="false">
      <c r="B315" s="8" t="s">
        <v>164</v>
      </c>
      <c r="C315" s="8" t="s">
        <v>320</v>
      </c>
      <c r="D315" s="9" t="s">
        <v>841</v>
      </c>
      <c r="E315" s="8" t="s">
        <v>345</v>
      </c>
      <c r="F315" s="8" t="s">
        <v>323</v>
      </c>
      <c r="G315" s="9" t="s">
        <v>842</v>
      </c>
      <c r="H315" s="21" t="n">
        <v>3</v>
      </c>
      <c r="I315" s="8" t="s">
        <v>288</v>
      </c>
      <c r="J315" s="8" t="s">
        <v>286</v>
      </c>
      <c r="K315" s="21" t="n">
        <v>11</v>
      </c>
      <c r="L315" s="21" t="n">
        <v>13</v>
      </c>
      <c r="M315" s="10" t="n">
        <v>0</v>
      </c>
      <c r="N315" s="10" t="n">
        <v>0</v>
      </c>
      <c r="O315" s="11" t="n">
        <f aca="false">ROUND((M315+N315)*0.18,0)</f>
        <v>0</v>
      </c>
      <c r="P315" s="11" t="n">
        <f aca="false">M315+N315+O315</f>
        <v>0</v>
      </c>
      <c r="Q315" s="9" t="s">
        <v>843</v>
      </c>
      <c r="R315" s="8" t="s">
        <v>284</v>
      </c>
      <c r="S315" s="8" t="s">
        <v>293</v>
      </c>
    </row>
    <row r="316" customFormat="false" ht="22.35" hidden="false" customHeight="false" outlineLevel="0" collapsed="false">
      <c r="B316" s="8" t="s">
        <v>164</v>
      </c>
      <c r="C316" s="8" t="s">
        <v>320</v>
      </c>
      <c r="D316" s="9" t="s">
        <v>841</v>
      </c>
      <c r="E316" s="8" t="s">
        <v>345</v>
      </c>
      <c r="F316" s="8" t="s">
        <v>326</v>
      </c>
      <c r="G316" s="9" t="s">
        <v>844</v>
      </c>
      <c r="H316" s="21" t="n">
        <v>8</v>
      </c>
      <c r="I316" s="8" t="s">
        <v>288</v>
      </c>
      <c r="J316" s="8" t="s">
        <v>323</v>
      </c>
      <c r="K316" s="21" t="n">
        <v>14</v>
      </c>
      <c r="L316" s="21" t="n">
        <v>21</v>
      </c>
      <c r="M316" s="10" t="n">
        <v>0</v>
      </c>
      <c r="N316" s="10" t="n">
        <v>0</v>
      </c>
      <c r="O316" s="11" t="n">
        <f aca="false">ROUND((M316+N316)*0.18,0)</f>
        <v>0</v>
      </c>
      <c r="P316" s="11" t="n">
        <f aca="false">M316+N316+O316</f>
        <v>0</v>
      </c>
      <c r="Q316" s="9" t="s">
        <v>845</v>
      </c>
      <c r="R316" s="8" t="s">
        <v>284</v>
      </c>
      <c r="S316" s="8" t="s">
        <v>293</v>
      </c>
    </row>
    <row r="317" customFormat="false" ht="15" hidden="false" customHeight="false" outlineLevel="0" collapsed="false">
      <c r="B317" s="8" t="s">
        <v>164</v>
      </c>
      <c r="C317" s="8" t="s">
        <v>320</v>
      </c>
      <c r="D317" s="9" t="s">
        <v>841</v>
      </c>
      <c r="E317" s="8" t="s">
        <v>345</v>
      </c>
      <c r="F317" s="8" t="s">
        <v>329</v>
      </c>
      <c r="G317" s="9" t="s">
        <v>846</v>
      </c>
      <c r="H317" s="21" t="n">
        <v>3</v>
      </c>
      <c r="I317" s="8" t="s">
        <v>288</v>
      </c>
      <c r="J317" s="8" t="s">
        <v>326</v>
      </c>
      <c r="K317" s="21" t="n">
        <v>22</v>
      </c>
      <c r="L317" s="21" t="n">
        <v>24</v>
      </c>
      <c r="M317" s="10" t="n">
        <v>0</v>
      </c>
      <c r="N317" s="10" t="n">
        <v>0</v>
      </c>
      <c r="O317" s="11" t="n">
        <f aca="false">ROUND((M317+N317)*0.18,0)</f>
        <v>0</v>
      </c>
      <c r="P317" s="11" t="n">
        <f aca="false">M317+N317+O317</f>
        <v>0</v>
      </c>
      <c r="Q317" s="9" t="s">
        <v>847</v>
      </c>
      <c r="R317" s="8" t="s">
        <v>284</v>
      </c>
      <c r="S317" s="8" t="s">
        <v>293</v>
      </c>
    </row>
    <row r="318" customFormat="false" ht="15" hidden="false" customHeight="false" outlineLevel="0" collapsed="false">
      <c r="B318" s="8" t="s">
        <v>164</v>
      </c>
      <c r="C318" s="8" t="s">
        <v>335</v>
      </c>
      <c r="D318" s="9" t="s">
        <v>848</v>
      </c>
      <c r="E318" s="8" t="s">
        <v>299</v>
      </c>
      <c r="F318" s="8" t="s">
        <v>337</v>
      </c>
      <c r="G318" s="9" t="s">
        <v>849</v>
      </c>
      <c r="H318" s="21" t="n">
        <v>6</v>
      </c>
      <c r="I318" s="8" t="s">
        <v>288</v>
      </c>
      <c r="J318" s="8" t="s">
        <v>286</v>
      </c>
      <c r="K318" s="21" t="n">
        <v>11</v>
      </c>
      <c r="L318" s="21" t="n">
        <v>16</v>
      </c>
      <c r="M318" s="10" t="n">
        <v>12000000</v>
      </c>
      <c r="N318" s="10" t="n">
        <v>0</v>
      </c>
      <c r="O318" s="11" t="n">
        <f aca="false">ROUND((M318+N318)*0.18,0)</f>
        <v>2160000</v>
      </c>
      <c r="P318" s="11" t="n">
        <f aca="false">M318+N318+O318</f>
        <v>14160000</v>
      </c>
      <c r="Q318" s="9" t="s">
        <v>850</v>
      </c>
      <c r="R318" s="8" t="s">
        <v>284</v>
      </c>
      <c r="S318" s="8" t="s">
        <v>293</v>
      </c>
    </row>
    <row r="319" customFormat="false" ht="15" hidden="false" customHeight="false" outlineLevel="0" collapsed="false">
      <c r="B319" s="8" t="s">
        <v>164</v>
      </c>
      <c r="C319" s="8" t="s">
        <v>335</v>
      </c>
      <c r="D319" s="9" t="s">
        <v>848</v>
      </c>
      <c r="E319" s="8" t="s">
        <v>299</v>
      </c>
      <c r="F319" s="8" t="s">
        <v>340</v>
      </c>
      <c r="G319" s="9" t="s">
        <v>851</v>
      </c>
      <c r="H319" s="21" t="n">
        <v>4</v>
      </c>
      <c r="I319" s="8" t="s">
        <v>288</v>
      </c>
      <c r="J319" s="8" t="s">
        <v>337</v>
      </c>
      <c r="K319" s="21" t="n">
        <v>17</v>
      </c>
      <c r="L319" s="21" t="n">
        <v>20</v>
      </c>
      <c r="M319" s="10" t="n">
        <v>8000000</v>
      </c>
      <c r="N319" s="10" t="n">
        <v>0</v>
      </c>
      <c r="O319" s="11" t="n">
        <f aca="false">ROUND((M319+N319)*0.18,0)</f>
        <v>1440000</v>
      </c>
      <c r="P319" s="11" t="n">
        <f aca="false">M319+N319+O319</f>
        <v>9440000</v>
      </c>
      <c r="Q319" s="9" t="s">
        <v>840</v>
      </c>
      <c r="R319" s="8" t="s">
        <v>284</v>
      </c>
      <c r="S319" s="8" t="s">
        <v>293</v>
      </c>
    </row>
    <row r="320" customFormat="false" ht="15" hidden="false" customHeight="false" outlineLevel="0" collapsed="false">
      <c r="B320" s="8" t="s">
        <v>164</v>
      </c>
      <c r="C320" s="8" t="s">
        <v>335</v>
      </c>
      <c r="D320" s="9" t="s">
        <v>848</v>
      </c>
      <c r="E320" s="8" t="s">
        <v>299</v>
      </c>
      <c r="F320" s="8" t="s">
        <v>341</v>
      </c>
      <c r="G320" s="9" t="s">
        <v>852</v>
      </c>
      <c r="H320" s="21" t="n">
        <v>4</v>
      </c>
      <c r="I320" s="8" t="s">
        <v>288</v>
      </c>
      <c r="J320" s="8" t="s">
        <v>340</v>
      </c>
      <c r="K320" s="21" t="n">
        <v>21</v>
      </c>
      <c r="L320" s="21" t="n">
        <v>24</v>
      </c>
      <c r="M320" s="10" t="n">
        <v>5000000</v>
      </c>
      <c r="N320" s="10" t="n">
        <v>0</v>
      </c>
      <c r="O320" s="11" t="n">
        <f aca="false">ROUND((M320+N320)*0.18,0)</f>
        <v>900000</v>
      </c>
      <c r="P320" s="11" t="n">
        <f aca="false">M320+N320+O320</f>
        <v>5900000</v>
      </c>
      <c r="Q320" s="9" t="s">
        <v>853</v>
      </c>
      <c r="R320" s="8" t="s">
        <v>284</v>
      </c>
      <c r="S320" s="8" t="s">
        <v>293</v>
      </c>
    </row>
    <row r="321" customFormat="false" ht="15" hidden="false" customHeight="false" outlineLevel="0" collapsed="false">
      <c r="B321" s="8" t="s">
        <v>164</v>
      </c>
      <c r="C321" s="8" t="s">
        <v>343</v>
      </c>
      <c r="D321" s="9" t="s">
        <v>854</v>
      </c>
      <c r="E321" s="8" t="s">
        <v>626</v>
      </c>
      <c r="F321" s="8" t="s">
        <v>346</v>
      </c>
      <c r="G321" s="9" t="s">
        <v>855</v>
      </c>
      <c r="H321" s="21" t="n">
        <v>4</v>
      </c>
      <c r="I321" s="8" t="s">
        <v>288</v>
      </c>
      <c r="J321" s="8" t="s">
        <v>315</v>
      </c>
      <c r="K321" s="21" t="n">
        <v>31</v>
      </c>
      <c r="L321" s="21" t="n">
        <v>34</v>
      </c>
      <c r="M321" s="10" t="n">
        <v>7000000</v>
      </c>
      <c r="N321" s="10" t="n">
        <v>0</v>
      </c>
      <c r="O321" s="11" t="n">
        <f aca="false">ROUND((M321+N321)*0.18,0)</f>
        <v>1260000</v>
      </c>
      <c r="P321" s="11" t="n">
        <f aca="false">M321+N321+O321</f>
        <v>8260000</v>
      </c>
      <c r="Q321" s="9" t="s">
        <v>840</v>
      </c>
      <c r="R321" s="8" t="s">
        <v>284</v>
      </c>
      <c r="S321" s="8" t="s">
        <v>293</v>
      </c>
    </row>
    <row r="322" customFormat="false" ht="15" hidden="false" customHeight="false" outlineLevel="0" collapsed="false">
      <c r="B322" s="8" t="s">
        <v>164</v>
      </c>
      <c r="C322" s="8" t="s">
        <v>343</v>
      </c>
      <c r="D322" s="9" t="s">
        <v>854</v>
      </c>
      <c r="E322" s="8" t="s">
        <v>626</v>
      </c>
      <c r="F322" s="8" t="s">
        <v>348</v>
      </c>
      <c r="G322" s="9" t="s">
        <v>856</v>
      </c>
      <c r="H322" s="21" t="n">
        <v>3</v>
      </c>
      <c r="I322" s="8" t="s">
        <v>288</v>
      </c>
      <c r="J322" s="8" t="s">
        <v>346</v>
      </c>
      <c r="K322" s="21" t="n">
        <v>35</v>
      </c>
      <c r="L322" s="21" t="n">
        <v>37</v>
      </c>
      <c r="M322" s="10" t="n">
        <v>0</v>
      </c>
      <c r="N322" s="10" t="n">
        <v>0</v>
      </c>
      <c r="O322" s="11" t="n">
        <f aca="false">ROUND((M322+N322)*0.18,0)</f>
        <v>0</v>
      </c>
      <c r="P322" s="11" t="n">
        <f aca="false">M322+N322+O322</f>
        <v>0</v>
      </c>
      <c r="Q322" s="9" t="s">
        <v>161</v>
      </c>
      <c r="R322" s="8" t="s">
        <v>284</v>
      </c>
      <c r="S322" s="8" t="s">
        <v>293</v>
      </c>
    </row>
    <row r="323" customFormat="false" ht="15" hidden="false" customHeight="false" outlineLevel="0" collapsed="false">
      <c r="B323" s="8" t="s">
        <v>164</v>
      </c>
      <c r="C323" s="8" t="s">
        <v>343</v>
      </c>
      <c r="D323" s="9" t="s">
        <v>854</v>
      </c>
      <c r="E323" s="8" t="s">
        <v>626</v>
      </c>
      <c r="F323" s="8" t="s">
        <v>403</v>
      </c>
      <c r="G323" s="9" t="s">
        <v>857</v>
      </c>
      <c r="H323" s="21" t="n">
        <v>3</v>
      </c>
      <c r="I323" s="8" t="s">
        <v>288</v>
      </c>
      <c r="J323" s="8" t="s">
        <v>348</v>
      </c>
      <c r="K323" s="21" t="n">
        <v>38</v>
      </c>
      <c r="L323" s="21" t="n">
        <v>40</v>
      </c>
      <c r="M323" s="10" t="n">
        <v>5000000</v>
      </c>
      <c r="N323" s="10" t="n">
        <v>0</v>
      </c>
      <c r="O323" s="11" t="n">
        <f aca="false">ROUND((M323+N323)*0.18,0)</f>
        <v>900000</v>
      </c>
      <c r="P323" s="11" t="n">
        <f aca="false">M323+N323+O323</f>
        <v>5900000</v>
      </c>
      <c r="Q323" s="9" t="s">
        <v>858</v>
      </c>
      <c r="R323" s="8" t="s">
        <v>284</v>
      </c>
      <c r="S323" s="8" t="s">
        <v>293</v>
      </c>
    </row>
    <row r="324" customFormat="false" ht="15" hidden="false" customHeight="false" outlineLevel="0" collapsed="false">
      <c r="B324" s="8" t="s">
        <v>164</v>
      </c>
      <c r="C324" s="8" t="s">
        <v>351</v>
      </c>
      <c r="D324" s="9" t="s">
        <v>859</v>
      </c>
      <c r="E324" s="8" t="s">
        <v>361</v>
      </c>
      <c r="F324" s="8" t="s">
        <v>353</v>
      </c>
      <c r="G324" s="9" t="s">
        <v>860</v>
      </c>
      <c r="H324" s="21" t="n">
        <v>3</v>
      </c>
      <c r="I324" s="8" t="s">
        <v>288</v>
      </c>
      <c r="J324" s="8" t="s">
        <v>403</v>
      </c>
      <c r="K324" s="21" t="n">
        <v>41</v>
      </c>
      <c r="L324" s="21" t="n">
        <v>43</v>
      </c>
      <c r="M324" s="10" t="n">
        <v>3000000</v>
      </c>
      <c r="N324" s="10" t="n">
        <v>0</v>
      </c>
      <c r="O324" s="11" t="n">
        <f aca="false">ROUND((M324+N324)*0.18,0)</f>
        <v>540000</v>
      </c>
      <c r="P324" s="11" t="n">
        <f aca="false">M324+N324+O324</f>
        <v>3540000</v>
      </c>
      <c r="Q324" s="9" t="s">
        <v>861</v>
      </c>
      <c r="R324" s="8" t="s">
        <v>284</v>
      </c>
      <c r="S324" s="8" t="s">
        <v>293</v>
      </c>
    </row>
    <row r="325" customFormat="false" ht="15" hidden="false" customHeight="false" outlineLevel="0" collapsed="false">
      <c r="B325" s="8" t="s">
        <v>164</v>
      </c>
      <c r="C325" s="8" t="s">
        <v>351</v>
      </c>
      <c r="D325" s="9" t="s">
        <v>859</v>
      </c>
      <c r="E325" s="8" t="s">
        <v>361</v>
      </c>
      <c r="F325" s="8" t="s">
        <v>356</v>
      </c>
      <c r="G325" s="9" t="s">
        <v>862</v>
      </c>
      <c r="H325" s="21" t="n">
        <v>2</v>
      </c>
      <c r="I325" s="8" t="s">
        <v>288</v>
      </c>
      <c r="J325" s="8" t="s">
        <v>353</v>
      </c>
      <c r="K325" s="21" t="n">
        <v>44</v>
      </c>
      <c r="L325" s="21" t="n">
        <v>45</v>
      </c>
      <c r="M325" s="10" t="n">
        <v>0</v>
      </c>
      <c r="N325" s="10" t="n">
        <v>0</v>
      </c>
      <c r="O325" s="11" t="n">
        <f aca="false">ROUND((M325+N325)*0.18,0)</f>
        <v>0</v>
      </c>
      <c r="P325" s="11" t="n">
        <f aca="false">M325+N325+O325</f>
        <v>0</v>
      </c>
      <c r="Q325" s="9" t="s">
        <v>863</v>
      </c>
      <c r="R325" s="8" t="s">
        <v>284</v>
      </c>
      <c r="S325" s="8" t="s">
        <v>293</v>
      </c>
    </row>
    <row r="326" customFormat="false" ht="15" hidden="false" customHeight="false" outlineLevel="0" collapsed="false">
      <c r="B326" s="8" t="s">
        <v>164</v>
      </c>
      <c r="C326" s="8" t="s">
        <v>351</v>
      </c>
      <c r="D326" s="9" t="s">
        <v>859</v>
      </c>
      <c r="E326" s="8" t="s">
        <v>361</v>
      </c>
      <c r="F326" s="8" t="s">
        <v>408</v>
      </c>
      <c r="G326" s="9" t="s">
        <v>864</v>
      </c>
      <c r="H326" s="21" t="n">
        <v>2</v>
      </c>
      <c r="I326" s="8" t="s">
        <v>288</v>
      </c>
      <c r="J326" s="8" t="s">
        <v>356</v>
      </c>
      <c r="K326" s="21" t="n">
        <v>46</v>
      </c>
      <c r="L326" s="21" t="n">
        <v>47</v>
      </c>
      <c r="M326" s="10" t="n">
        <v>2000000</v>
      </c>
      <c r="N326" s="10" t="n">
        <v>0</v>
      </c>
      <c r="O326" s="11" t="n">
        <f aca="false">ROUND((M326+N326)*0.18,0)</f>
        <v>360000</v>
      </c>
      <c r="P326" s="11" t="n">
        <f aca="false">M326+N326+O326</f>
        <v>2360000</v>
      </c>
      <c r="Q326" s="9" t="s">
        <v>161</v>
      </c>
      <c r="R326" s="8" t="s">
        <v>284</v>
      </c>
      <c r="S326" s="8" t="s">
        <v>293</v>
      </c>
    </row>
    <row r="327" customFormat="false" ht="15" hidden="false" customHeight="false" outlineLevel="0" collapsed="false">
      <c r="B327" s="8" t="s">
        <v>188</v>
      </c>
      <c r="C327" s="8" t="s">
        <v>279</v>
      </c>
      <c r="D327" s="9" t="s">
        <v>437</v>
      </c>
      <c r="E327" s="8" t="s">
        <v>81</v>
      </c>
      <c r="F327" s="8" t="s">
        <v>286</v>
      </c>
      <c r="G327" s="9" t="s">
        <v>438</v>
      </c>
      <c r="H327" s="21" t="n">
        <v>2</v>
      </c>
      <c r="I327" s="8" t="s">
        <v>384</v>
      </c>
      <c r="J327" s="8" t="s">
        <v>281</v>
      </c>
      <c r="K327" s="21" t="n">
        <v>1</v>
      </c>
      <c r="L327" s="21" t="n">
        <v>2</v>
      </c>
      <c r="M327" s="10" t="n">
        <v>28282828</v>
      </c>
      <c r="N327" s="10" t="n">
        <v>0</v>
      </c>
      <c r="O327" s="11" t="n">
        <f aca="false">ROUND((M327+N327)*0.18,0)</f>
        <v>5090909</v>
      </c>
      <c r="P327" s="11" t="n">
        <f aca="false">M327+N327+O327</f>
        <v>33373737</v>
      </c>
      <c r="Q327" s="9" t="s">
        <v>865</v>
      </c>
      <c r="R327" s="8" t="s">
        <v>303</v>
      </c>
      <c r="S327" s="8" t="s">
        <v>293</v>
      </c>
    </row>
    <row r="328" customFormat="false" ht="15" hidden="false" customHeight="false" outlineLevel="0" collapsed="false">
      <c r="B328" s="8" t="s">
        <v>188</v>
      </c>
      <c r="C328" s="8" t="s">
        <v>279</v>
      </c>
      <c r="D328" s="9" t="s">
        <v>437</v>
      </c>
      <c r="E328" s="8" t="s">
        <v>81</v>
      </c>
      <c r="F328" s="8" t="s">
        <v>290</v>
      </c>
      <c r="G328" s="9" t="s">
        <v>439</v>
      </c>
      <c r="H328" s="21" t="n">
        <v>6</v>
      </c>
      <c r="I328" s="8" t="s">
        <v>288</v>
      </c>
      <c r="J328" s="8" t="s">
        <v>281</v>
      </c>
      <c r="K328" s="21" t="n">
        <v>1</v>
      </c>
      <c r="L328" s="21" t="n">
        <v>6</v>
      </c>
      <c r="M328" s="10" t="n">
        <v>28282828</v>
      </c>
      <c r="N328" s="10" t="n">
        <v>0</v>
      </c>
      <c r="O328" s="11" t="n">
        <f aca="false">ROUND((M328+N328)*0.18,0)</f>
        <v>5090909</v>
      </c>
      <c r="P328" s="11" t="n">
        <f aca="false">M328+N328+O328</f>
        <v>33373737</v>
      </c>
      <c r="Q328" s="9" t="s">
        <v>865</v>
      </c>
      <c r="R328" s="8" t="s">
        <v>303</v>
      </c>
      <c r="S328" s="8" t="s">
        <v>293</v>
      </c>
    </row>
    <row r="329" customFormat="false" ht="15" hidden="false" customHeight="false" outlineLevel="0" collapsed="false">
      <c r="B329" s="8" t="s">
        <v>188</v>
      </c>
      <c r="C329" s="8" t="s">
        <v>279</v>
      </c>
      <c r="D329" s="9" t="s">
        <v>437</v>
      </c>
      <c r="E329" s="8" t="s">
        <v>81</v>
      </c>
      <c r="F329" s="8" t="s">
        <v>294</v>
      </c>
      <c r="G329" s="9" t="s">
        <v>440</v>
      </c>
      <c r="H329" s="21" t="n">
        <v>6</v>
      </c>
      <c r="I329" s="8" t="s">
        <v>288</v>
      </c>
      <c r="J329" s="8" t="s">
        <v>281</v>
      </c>
      <c r="K329" s="21" t="n">
        <v>1</v>
      </c>
      <c r="L329" s="21" t="n">
        <v>6</v>
      </c>
      <c r="M329" s="10" t="n">
        <v>28282828</v>
      </c>
      <c r="N329" s="10" t="n">
        <v>0</v>
      </c>
      <c r="O329" s="11" t="n">
        <f aca="false">ROUND((M329+N329)*0.18,0)</f>
        <v>5090909</v>
      </c>
      <c r="P329" s="11" t="n">
        <f aca="false">M329+N329+O329</f>
        <v>33373737</v>
      </c>
      <c r="Q329" s="9" t="s">
        <v>865</v>
      </c>
      <c r="R329" s="8" t="s">
        <v>303</v>
      </c>
      <c r="S329" s="8" t="s">
        <v>293</v>
      </c>
    </row>
    <row r="330" customFormat="false" ht="15" hidden="false" customHeight="false" outlineLevel="0" collapsed="false">
      <c r="B330" s="8" t="s">
        <v>188</v>
      </c>
      <c r="C330" s="8" t="s">
        <v>297</v>
      </c>
      <c r="D330" s="9" t="s">
        <v>441</v>
      </c>
      <c r="E330" s="8" t="s">
        <v>299</v>
      </c>
      <c r="F330" s="8" t="s">
        <v>300</v>
      </c>
      <c r="G330" s="9" t="s">
        <v>442</v>
      </c>
      <c r="H330" s="21" t="n">
        <v>4</v>
      </c>
      <c r="I330" s="8" t="s">
        <v>288</v>
      </c>
      <c r="J330" s="8" t="s">
        <v>290</v>
      </c>
      <c r="K330" s="21" t="n">
        <v>7</v>
      </c>
      <c r="L330" s="21" t="n">
        <v>10</v>
      </c>
      <c r="M330" s="10" t="n">
        <v>70707071</v>
      </c>
      <c r="N330" s="10" t="n">
        <v>0</v>
      </c>
      <c r="O330" s="11" t="n">
        <f aca="false">ROUND((M330+N330)*0.18,0)</f>
        <v>12727273</v>
      </c>
      <c r="P330" s="11" t="n">
        <f aca="false">M330+N330+O330</f>
        <v>83434344</v>
      </c>
      <c r="Q330" s="9" t="s">
        <v>865</v>
      </c>
      <c r="R330" s="8" t="s">
        <v>303</v>
      </c>
      <c r="S330" s="8" t="s">
        <v>293</v>
      </c>
    </row>
    <row r="331" customFormat="false" ht="15" hidden="false" customHeight="false" outlineLevel="0" collapsed="false">
      <c r="B331" s="8" t="s">
        <v>188</v>
      </c>
      <c r="C331" s="8" t="s">
        <v>297</v>
      </c>
      <c r="D331" s="9" t="s">
        <v>441</v>
      </c>
      <c r="E331" s="8" t="s">
        <v>299</v>
      </c>
      <c r="F331" s="8" t="s">
        <v>304</v>
      </c>
      <c r="G331" s="9" t="s">
        <v>443</v>
      </c>
      <c r="H331" s="21" t="n">
        <v>4</v>
      </c>
      <c r="I331" s="8" t="s">
        <v>288</v>
      </c>
      <c r="J331" s="8" t="s">
        <v>300</v>
      </c>
      <c r="K331" s="21" t="n">
        <v>11</v>
      </c>
      <c r="L331" s="21" t="n">
        <v>14</v>
      </c>
      <c r="M331" s="10" t="n">
        <v>70707071</v>
      </c>
      <c r="N331" s="10" t="n">
        <v>0</v>
      </c>
      <c r="O331" s="11" t="n">
        <f aca="false">ROUND((M331+N331)*0.18,0)</f>
        <v>12727273</v>
      </c>
      <c r="P331" s="11" t="n">
        <f aca="false">M331+N331+O331</f>
        <v>83434344</v>
      </c>
      <c r="Q331" s="9" t="s">
        <v>865</v>
      </c>
      <c r="R331" s="8" t="s">
        <v>303</v>
      </c>
      <c r="S331" s="8" t="s">
        <v>293</v>
      </c>
    </row>
    <row r="332" customFormat="false" ht="15" hidden="false" customHeight="false" outlineLevel="0" collapsed="false">
      <c r="B332" s="8" t="s">
        <v>188</v>
      </c>
      <c r="C332" s="8" t="s">
        <v>297</v>
      </c>
      <c r="D332" s="9" t="s">
        <v>441</v>
      </c>
      <c r="E332" s="8" t="s">
        <v>299</v>
      </c>
      <c r="F332" s="8" t="s">
        <v>307</v>
      </c>
      <c r="G332" s="9" t="s">
        <v>444</v>
      </c>
      <c r="H332" s="21" t="n">
        <v>5</v>
      </c>
      <c r="I332" s="8" t="s">
        <v>384</v>
      </c>
      <c r="J332" s="8" t="s">
        <v>304</v>
      </c>
      <c r="K332" s="21" t="n">
        <v>11</v>
      </c>
      <c r="L332" s="21" t="n">
        <v>15</v>
      </c>
      <c r="M332" s="10" t="n">
        <v>70707071</v>
      </c>
      <c r="N332" s="10" t="n">
        <v>0</v>
      </c>
      <c r="O332" s="11" t="n">
        <f aca="false">ROUND((M332+N332)*0.18,0)</f>
        <v>12727273</v>
      </c>
      <c r="P332" s="11" t="n">
        <f aca="false">M332+N332+O332</f>
        <v>83434344</v>
      </c>
      <c r="Q332" s="9" t="s">
        <v>865</v>
      </c>
      <c r="R332" s="8" t="s">
        <v>303</v>
      </c>
      <c r="S332" s="8" t="s">
        <v>293</v>
      </c>
    </row>
    <row r="333" customFormat="false" ht="15" hidden="false" customHeight="false" outlineLevel="0" collapsed="false">
      <c r="B333" s="8" t="s">
        <v>188</v>
      </c>
      <c r="C333" s="8" t="s">
        <v>297</v>
      </c>
      <c r="D333" s="9" t="s">
        <v>441</v>
      </c>
      <c r="E333" s="8" t="s">
        <v>299</v>
      </c>
      <c r="F333" s="8" t="s">
        <v>445</v>
      </c>
      <c r="G333" s="9" t="s">
        <v>446</v>
      </c>
      <c r="H333" s="21" t="n">
        <v>4</v>
      </c>
      <c r="I333" s="8" t="s">
        <v>288</v>
      </c>
      <c r="J333" s="8" t="s">
        <v>300</v>
      </c>
      <c r="K333" s="21" t="n">
        <v>11</v>
      </c>
      <c r="L333" s="21" t="n">
        <v>14</v>
      </c>
      <c r="M333" s="10" t="n">
        <v>70707071</v>
      </c>
      <c r="N333" s="10" t="n">
        <v>0</v>
      </c>
      <c r="O333" s="11" t="n">
        <f aca="false">ROUND((M333+N333)*0.18,0)</f>
        <v>12727273</v>
      </c>
      <c r="P333" s="11" t="n">
        <f aca="false">M333+N333+O333</f>
        <v>83434344</v>
      </c>
      <c r="Q333" s="9" t="s">
        <v>865</v>
      </c>
      <c r="R333" s="8" t="s">
        <v>303</v>
      </c>
      <c r="S333" s="8" t="s">
        <v>293</v>
      </c>
    </row>
    <row r="334" customFormat="false" ht="15" hidden="false" customHeight="false" outlineLevel="0" collapsed="false">
      <c r="B334" s="8" t="s">
        <v>188</v>
      </c>
      <c r="C334" s="8" t="s">
        <v>310</v>
      </c>
      <c r="D334" s="9" t="s">
        <v>447</v>
      </c>
      <c r="E334" s="8" t="s">
        <v>299</v>
      </c>
      <c r="F334" s="8" t="s">
        <v>312</v>
      </c>
      <c r="G334" s="9" t="s">
        <v>448</v>
      </c>
      <c r="H334" s="21" t="n">
        <v>5</v>
      </c>
      <c r="I334" s="8" t="s">
        <v>288</v>
      </c>
      <c r="J334" s="8" t="s">
        <v>300</v>
      </c>
      <c r="K334" s="21" t="n">
        <v>11</v>
      </c>
      <c r="L334" s="21" t="n">
        <v>15</v>
      </c>
      <c r="M334" s="10" t="n">
        <v>268686869</v>
      </c>
      <c r="N334" s="10" t="n">
        <v>0</v>
      </c>
      <c r="O334" s="11" t="n">
        <f aca="false">ROUND((M334+N334)*0.18,0)</f>
        <v>48363636</v>
      </c>
      <c r="P334" s="11" t="n">
        <f aca="false">M334+N334+O334</f>
        <v>317050505</v>
      </c>
      <c r="Q334" s="9" t="s">
        <v>865</v>
      </c>
      <c r="R334" s="8" t="s">
        <v>303</v>
      </c>
      <c r="S334" s="8" t="s">
        <v>293</v>
      </c>
    </row>
    <row r="335" customFormat="false" ht="15" hidden="false" customHeight="false" outlineLevel="0" collapsed="false">
      <c r="B335" s="8" t="s">
        <v>188</v>
      </c>
      <c r="C335" s="8" t="s">
        <v>310</v>
      </c>
      <c r="D335" s="9" t="s">
        <v>447</v>
      </c>
      <c r="E335" s="8" t="s">
        <v>299</v>
      </c>
      <c r="F335" s="8" t="s">
        <v>315</v>
      </c>
      <c r="G335" s="9" t="s">
        <v>449</v>
      </c>
      <c r="H335" s="21" t="n">
        <v>7</v>
      </c>
      <c r="I335" s="8" t="s">
        <v>288</v>
      </c>
      <c r="J335" s="8" t="s">
        <v>312</v>
      </c>
      <c r="K335" s="21" t="n">
        <v>16</v>
      </c>
      <c r="L335" s="21" t="n">
        <v>22</v>
      </c>
      <c r="M335" s="10" t="n">
        <v>268686869</v>
      </c>
      <c r="N335" s="10" t="n">
        <v>0</v>
      </c>
      <c r="O335" s="11" t="n">
        <f aca="false">ROUND((M335+N335)*0.18,0)</f>
        <v>48363636</v>
      </c>
      <c r="P335" s="11" t="n">
        <f aca="false">M335+N335+O335</f>
        <v>317050505</v>
      </c>
      <c r="Q335" s="9" t="s">
        <v>865</v>
      </c>
      <c r="R335" s="8" t="s">
        <v>303</v>
      </c>
      <c r="S335" s="8" t="s">
        <v>293</v>
      </c>
    </row>
    <row r="336" customFormat="false" ht="15" hidden="false" customHeight="false" outlineLevel="0" collapsed="false">
      <c r="B336" s="8" t="s">
        <v>188</v>
      </c>
      <c r="C336" s="8" t="s">
        <v>310</v>
      </c>
      <c r="D336" s="9" t="s">
        <v>447</v>
      </c>
      <c r="E336" s="8" t="s">
        <v>299</v>
      </c>
      <c r="F336" s="8" t="s">
        <v>318</v>
      </c>
      <c r="G336" s="9" t="s">
        <v>450</v>
      </c>
      <c r="H336" s="21" t="n">
        <v>8</v>
      </c>
      <c r="I336" s="8" t="s">
        <v>288</v>
      </c>
      <c r="J336" s="8" t="s">
        <v>315</v>
      </c>
      <c r="K336" s="21" t="n">
        <v>23</v>
      </c>
      <c r="L336" s="21" t="n">
        <v>30</v>
      </c>
      <c r="M336" s="10" t="n">
        <v>268686869</v>
      </c>
      <c r="N336" s="10" t="n">
        <v>0</v>
      </c>
      <c r="O336" s="11" t="n">
        <f aca="false">ROUND((M336+N336)*0.18,0)</f>
        <v>48363636</v>
      </c>
      <c r="P336" s="11" t="n">
        <f aca="false">M336+N336+O336</f>
        <v>317050505</v>
      </c>
      <c r="Q336" s="9" t="s">
        <v>865</v>
      </c>
      <c r="R336" s="8" t="s">
        <v>303</v>
      </c>
      <c r="S336" s="8" t="s">
        <v>293</v>
      </c>
    </row>
    <row r="337" customFormat="false" ht="15" hidden="false" customHeight="false" outlineLevel="0" collapsed="false">
      <c r="B337" s="8" t="s">
        <v>188</v>
      </c>
      <c r="C337" s="8" t="s">
        <v>310</v>
      </c>
      <c r="D337" s="9" t="s">
        <v>447</v>
      </c>
      <c r="E337" s="8" t="s">
        <v>299</v>
      </c>
      <c r="F337" s="8" t="s">
        <v>451</v>
      </c>
      <c r="G337" s="9" t="s">
        <v>452</v>
      </c>
      <c r="H337" s="21" t="n">
        <v>12</v>
      </c>
      <c r="I337" s="8" t="s">
        <v>288</v>
      </c>
      <c r="J337" s="8" t="s">
        <v>318</v>
      </c>
      <c r="K337" s="21" t="n">
        <v>31</v>
      </c>
      <c r="L337" s="21" t="n">
        <v>42</v>
      </c>
      <c r="M337" s="10" t="n">
        <v>268686869</v>
      </c>
      <c r="N337" s="10" t="n">
        <v>0</v>
      </c>
      <c r="O337" s="11" t="n">
        <f aca="false">ROUND((M337+N337)*0.18,0)</f>
        <v>48363636</v>
      </c>
      <c r="P337" s="11" t="n">
        <f aca="false">M337+N337+O337</f>
        <v>317050505</v>
      </c>
      <c r="Q337" s="9" t="s">
        <v>865</v>
      </c>
      <c r="R337" s="8" t="s">
        <v>303</v>
      </c>
      <c r="S337" s="8" t="s">
        <v>293</v>
      </c>
    </row>
    <row r="338" customFormat="false" ht="15" hidden="false" customHeight="false" outlineLevel="0" collapsed="false">
      <c r="B338" s="8" t="s">
        <v>188</v>
      </c>
      <c r="C338" s="8" t="s">
        <v>320</v>
      </c>
      <c r="D338" s="9" t="s">
        <v>453</v>
      </c>
      <c r="E338" s="8" t="s">
        <v>454</v>
      </c>
      <c r="F338" s="8" t="s">
        <v>323</v>
      </c>
      <c r="G338" s="9" t="s">
        <v>455</v>
      </c>
      <c r="H338" s="21" t="n">
        <v>6</v>
      </c>
      <c r="I338" s="8" t="s">
        <v>288</v>
      </c>
      <c r="J338" s="8" t="s">
        <v>315</v>
      </c>
      <c r="K338" s="21" t="n">
        <v>23</v>
      </c>
      <c r="L338" s="21" t="n">
        <v>28</v>
      </c>
      <c r="M338" s="10" t="n">
        <v>67878788</v>
      </c>
      <c r="N338" s="10" t="n">
        <v>4930424</v>
      </c>
      <c r="O338" s="11" t="n">
        <f aca="false">ROUND((M338+N338)*0.18,0)</f>
        <v>13105658</v>
      </c>
      <c r="P338" s="11" t="n">
        <f aca="false">M338+N338+O338</f>
        <v>85914870</v>
      </c>
      <c r="Q338" s="9" t="s">
        <v>865</v>
      </c>
      <c r="R338" s="8" t="s">
        <v>303</v>
      </c>
      <c r="S338" s="8" t="s">
        <v>293</v>
      </c>
    </row>
    <row r="339" customFormat="false" ht="15" hidden="false" customHeight="false" outlineLevel="0" collapsed="false">
      <c r="B339" s="8" t="s">
        <v>188</v>
      </c>
      <c r="C339" s="8" t="s">
        <v>320</v>
      </c>
      <c r="D339" s="9" t="s">
        <v>453</v>
      </c>
      <c r="E339" s="8" t="s">
        <v>454</v>
      </c>
      <c r="F339" s="8" t="s">
        <v>326</v>
      </c>
      <c r="G339" s="9" t="s">
        <v>456</v>
      </c>
      <c r="H339" s="21" t="n">
        <v>2</v>
      </c>
      <c r="I339" s="8" t="s">
        <v>288</v>
      </c>
      <c r="J339" s="8" t="s">
        <v>323</v>
      </c>
      <c r="K339" s="21" t="n">
        <v>29</v>
      </c>
      <c r="L339" s="21" t="n">
        <v>30</v>
      </c>
      <c r="M339" s="10" t="n">
        <v>67878788</v>
      </c>
      <c r="N339" s="10" t="n">
        <v>4930424</v>
      </c>
      <c r="O339" s="11" t="n">
        <f aca="false">ROUND((M339+N339)*0.18,0)</f>
        <v>13105658</v>
      </c>
      <c r="P339" s="11" t="n">
        <f aca="false">M339+N339+O339</f>
        <v>85914870</v>
      </c>
      <c r="Q339" s="9" t="s">
        <v>865</v>
      </c>
      <c r="R339" s="8" t="s">
        <v>303</v>
      </c>
      <c r="S339" s="8" t="s">
        <v>293</v>
      </c>
    </row>
    <row r="340" customFormat="false" ht="15" hidden="false" customHeight="false" outlineLevel="0" collapsed="false">
      <c r="B340" s="8" t="s">
        <v>188</v>
      </c>
      <c r="C340" s="8" t="s">
        <v>320</v>
      </c>
      <c r="D340" s="9" t="s">
        <v>453</v>
      </c>
      <c r="E340" s="8" t="s">
        <v>454</v>
      </c>
      <c r="F340" s="8" t="s">
        <v>329</v>
      </c>
      <c r="G340" s="9" t="s">
        <v>400</v>
      </c>
      <c r="H340" s="21" t="n">
        <v>3</v>
      </c>
      <c r="I340" s="8" t="s">
        <v>384</v>
      </c>
      <c r="J340" s="8" t="s">
        <v>326</v>
      </c>
      <c r="K340" s="21" t="n">
        <v>29</v>
      </c>
      <c r="L340" s="21" t="n">
        <v>31</v>
      </c>
      <c r="M340" s="10" t="n">
        <v>67878788</v>
      </c>
      <c r="N340" s="10" t="n">
        <v>4930424</v>
      </c>
      <c r="O340" s="11" t="n">
        <f aca="false">ROUND((M340+N340)*0.18,0)</f>
        <v>13105658</v>
      </c>
      <c r="P340" s="11" t="n">
        <f aca="false">M340+N340+O340</f>
        <v>85914870</v>
      </c>
      <c r="Q340" s="9" t="s">
        <v>865</v>
      </c>
      <c r="R340" s="8" t="s">
        <v>303</v>
      </c>
      <c r="S340" s="8" t="s">
        <v>293</v>
      </c>
    </row>
    <row r="341" customFormat="false" ht="15" hidden="false" customHeight="false" outlineLevel="0" collapsed="false">
      <c r="B341" s="8" t="s">
        <v>188</v>
      </c>
      <c r="C341" s="8" t="s">
        <v>320</v>
      </c>
      <c r="D341" s="9" t="s">
        <v>453</v>
      </c>
      <c r="E341" s="8" t="s">
        <v>454</v>
      </c>
      <c r="F341" s="8" t="s">
        <v>332</v>
      </c>
      <c r="G341" s="9" t="s">
        <v>457</v>
      </c>
      <c r="H341" s="21" t="n">
        <v>3</v>
      </c>
      <c r="I341" s="8" t="s">
        <v>288</v>
      </c>
      <c r="J341" s="8" t="s">
        <v>326</v>
      </c>
      <c r="K341" s="21" t="n">
        <v>31</v>
      </c>
      <c r="L341" s="21" t="n">
        <v>33</v>
      </c>
      <c r="M341" s="10" t="n">
        <v>67878788</v>
      </c>
      <c r="N341" s="10" t="n">
        <v>4930424</v>
      </c>
      <c r="O341" s="11" t="n">
        <f aca="false">ROUND((M341+N341)*0.18,0)</f>
        <v>13105658</v>
      </c>
      <c r="P341" s="11" t="n">
        <f aca="false">M341+N341+O341</f>
        <v>85914870</v>
      </c>
      <c r="Q341" s="9" t="s">
        <v>865</v>
      </c>
      <c r="R341" s="8" t="s">
        <v>303</v>
      </c>
      <c r="S341" s="8" t="s">
        <v>293</v>
      </c>
    </row>
    <row r="342" customFormat="false" ht="15" hidden="false" customHeight="false" outlineLevel="0" collapsed="false">
      <c r="B342" s="8" t="s">
        <v>188</v>
      </c>
      <c r="C342" s="8" t="s">
        <v>320</v>
      </c>
      <c r="D342" s="9" t="s">
        <v>453</v>
      </c>
      <c r="E342" s="8" t="s">
        <v>454</v>
      </c>
      <c r="F342" s="8" t="s">
        <v>458</v>
      </c>
      <c r="G342" s="9" t="s">
        <v>459</v>
      </c>
      <c r="H342" s="21" t="n">
        <v>2</v>
      </c>
      <c r="I342" s="8" t="s">
        <v>288</v>
      </c>
      <c r="J342" s="8" t="s">
        <v>332</v>
      </c>
      <c r="K342" s="21" t="n">
        <v>34</v>
      </c>
      <c r="L342" s="21" t="n">
        <v>35</v>
      </c>
      <c r="M342" s="10" t="n">
        <v>67878788</v>
      </c>
      <c r="N342" s="10" t="n">
        <v>4930424</v>
      </c>
      <c r="O342" s="11" t="n">
        <f aca="false">ROUND((M342+N342)*0.18,0)</f>
        <v>13105658</v>
      </c>
      <c r="P342" s="11" t="n">
        <f aca="false">M342+N342+O342</f>
        <v>85914870</v>
      </c>
      <c r="Q342" s="9" t="s">
        <v>865</v>
      </c>
      <c r="R342" s="8" t="s">
        <v>303</v>
      </c>
      <c r="S342" s="8" t="s">
        <v>293</v>
      </c>
    </row>
    <row r="343" customFormat="false" ht="15" hidden="false" customHeight="false" outlineLevel="0" collapsed="false">
      <c r="B343" s="8" t="s">
        <v>188</v>
      </c>
      <c r="C343" s="8" t="s">
        <v>335</v>
      </c>
      <c r="D343" s="9" t="s">
        <v>460</v>
      </c>
      <c r="E343" s="8" t="s">
        <v>454</v>
      </c>
      <c r="F343" s="8" t="s">
        <v>337</v>
      </c>
      <c r="G343" s="9" t="s">
        <v>455</v>
      </c>
      <c r="H343" s="21" t="n">
        <v>8</v>
      </c>
      <c r="I343" s="8" t="s">
        <v>288</v>
      </c>
      <c r="J343" s="8" t="s">
        <v>451</v>
      </c>
      <c r="K343" s="21" t="n">
        <v>43</v>
      </c>
      <c r="L343" s="21" t="n">
        <v>50</v>
      </c>
      <c r="M343" s="10" t="n">
        <v>122558922</v>
      </c>
      <c r="N343" s="10" t="n">
        <v>9586935</v>
      </c>
      <c r="O343" s="11" t="n">
        <f aca="false">ROUND((M343+N343)*0.18,0)</f>
        <v>23786254</v>
      </c>
      <c r="P343" s="11" t="n">
        <f aca="false">M343+N343+O343</f>
        <v>155932111</v>
      </c>
      <c r="Q343" s="9" t="s">
        <v>865</v>
      </c>
      <c r="R343" s="8" t="s">
        <v>303</v>
      </c>
      <c r="S343" s="8" t="s">
        <v>293</v>
      </c>
    </row>
    <row r="344" customFormat="false" ht="15" hidden="false" customHeight="false" outlineLevel="0" collapsed="false">
      <c r="B344" s="8" t="s">
        <v>188</v>
      </c>
      <c r="C344" s="8" t="s">
        <v>335</v>
      </c>
      <c r="D344" s="9" t="s">
        <v>460</v>
      </c>
      <c r="E344" s="8" t="s">
        <v>454</v>
      </c>
      <c r="F344" s="8" t="s">
        <v>340</v>
      </c>
      <c r="G344" s="9" t="s">
        <v>400</v>
      </c>
      <c r="H344" s="21" t="n">
        <v>5</v>
      </c>
      <c r="I344" s="8" t="s">
        <v>288</v>
      </c>
      <c r="J344" s="8" t="s">
        <v>337</v>
      </c>
      <c r="K344" s="21" t="n">
        <v>51</v>
      </c>
      <c r="L344" s="21" t="n">
        <v>55</v>
      </c>
      <c r="M344" s="10" t="n">
        <v>122558922</v>
      </c>
      <c r="N344" s="10" t="n">
        <v>9586935</v>
      </c>
      <c r="O344" s="11" t="n">
        <f aca="false">ROUND((M344+N344)*0.18,0)</f>
        <v>23786254</v>
      </c>
      <c r="P344" s="11" t="n">
        <f aca="false">M344+N344+O344</f>
        <v>155932111</v>
      </c>
      <c r="Q344" s="9" t="s">
        <v>865</v>
      </c>
      <c r="R344" s="8" t="s">
        <v>303</v>
      </c>
      <c r="S344" s="8" t="s">
        <v>293</v>
      </c>
    </row>
    <row r="345" customFormat="false" ht="15" hidden="false" customHeight="false" outlineLevel="0" collapsed="false">
      <c r="B345" s="8" t="s">
        <v>188</v>
      </c>
      <c r="C345" s="8" t="s">
        <v>335</v>
      </c>
      <c r="D345" s="9" t="s">
        <v>460</v>
      </c>
      <c r="E345" s="8" t="s">
        <v>454</v>
      </c>
      <c r="F345" s="8" t="s">
        <v>341</v>
      </c>
      <c r="G345" s="9" t="s">
        <v>457</v>
      </c>
      <c r="H345" s="21" t="n">
        <v>4</v>
      </c>
      <c r="I345" s="8" t="s">
        <v>384</v>
      </c>
      <c r="J345" s="8" t="s">
        <v>340</v>
      </c>
      <c r="K345" s="21" t="n">
        <v>51</v>
      </c>
      <c r="L345" s="21" t="n">
        <v>54</v>
      </c>
      <c r="M345" s="10" t="n">
        <v>122558922</v>
      </c>
      <c r="N345" s="10" t="n">
        <v>9586935</v>
      </c>
      <c r="O345" s="11" t="n">
        <f aca="false">ROUND((M345+N345)*0.18,0)</f>
        <v>23786254</v>
      </c>
      <c r="P345" s="11" t="n">
        <f aca="false">M345+N345+O345</f>
        <v>155932111</v>
      </c>
      <c r="Q345" s="9" t="s">
        <v>865</v>
      </c>
      <c r="R345" s="8" t="s">
        <v>303</v>
      </c>
      <c r="S345" s="8" t="s">
        <v>293</v>
      </c>
    </row>
    <row r="346" customFormat="false" ht="15" hidden="false" customHeight="false" outlineLevel="0" collapsed="false">
      <c r="B346" s="8" t="s">
        <v>188</v>
      </c>
      <c r="C346" s="8" t="s">
        <v>335</v>
      </c>
      <c r="D346" s="9" t="s">
        <v>460</v>
      </c>
      <c r="E346" s="8" t="s">
        <v>454</v>
      </c>
      <c r="F346" s="8" t="s">
        <v>461</v>
      </c>
      <c r="G346" s="9" t="s">
        <v>462</v>
      </c>
      <c r="H346" s="21" t="n">
        <v>5</v>
      </c>
      <c r="I346" s="8" t="s">
        <v>288</v>
      </c>
      <c r="J346" s="8" t="s">
        <v>340</v>
      </c>
      <c r="K346" s="21" t="n">
        <v>56</v>
      </c>
      <c r="L346" s="21" t="n">
        <v>60</v>
      </c>
      <c r="M346" s="10" t="n">
        <v>122558922</v>
      </c>
      <c r="N346" s="10" t="n">
        <v>9586935</v>
      </c>
      <c r="O346" s="11" t="n">
        <f aca="false">ROUND((M346+N346)*0.18,0)</f>
        <v>23786254</v>
      </c>
      <c r="P346" s="11" t="n">
        <f aca="false">M346+N346+O346</f>
        <v>155932111</v>
      </c>
      <c r="Q346" s="9" t="s">
        <v>865</v>
      </c>
      <c r="R346" s="8" t="s">
        <v>303</v>
      </c>
      <c r="S346" s="8" t="s">
        <v>293</v>
      </c>
    </row>
    <row r="347" customFormat="false" ht="15" hidden="false" customHeight="false" outlineLevel="0" collapsed="false">
      <c r="B347" s="8" t="s">
        <v>188</v>
      </c>
      <c r="C347" s="8" t="s">
        <v>335</v>
      </c>
      <c r="D347" s="9" t="s">
        <v>460</v>
      </c>
      <c r="E347" s="8" t="s">
        <v>454</v>
      </c>
      <c r="F347" s="8" t="s">
        <v>463</v>
      </c>
      <c r="G347" s="9" t="s">
        <v>464</v>
      </c>
      <c r="H347" s="21" t="n">
        <v>4</v>
      </c>
      <c r="I347" s="8" t="s">
        <v>288</v>
      </c>
      <c r="J347" s="8" t="s">
        <v>461</v>
      </c>
      <c r="K347" s="21" t="n">
        <v>61</v>
      </c>
      <c r="L347" s="21" t="n">
        <v>64</v>
      </c>
      <c r="M347" s="10" t="n">
        <v>122558922</v>
      </c>
      <c r="N347" s="10" t="n">
        <v>9586935</v>
      </c>
      <c r="O347" s="11" t="n">
        <f aca="false">ROUND((M347+N347)*0.18,0)</f>
        <v>23786254</v>
      </c>
      <c r="P347" s="11" t="n">
        <f aca="false">M347+N347+O347</f>
        <v>155932111</v>
      </c>
      <c r="Q347" s="9" t="s">
        <v>865</v>
      </c>
      <c r="R347" s="8" t="s">
        <v>303</v>
      </c>
      <c r="S347" s="8" t="s">
        <v>293</v>
      </c>
    </row>
    <row r="348" customFormat="false" ht="15" hidden="false" customHeight="false" outlineLevel="0" collapsed="false">
      <c r="B348" s="8" t="s">
        <v>188</v>
      </c>
      <c r="C348" s="8" t="s">
        <v>335</v>
      </c>
      <c r="D348" s="9" t="s">
        <v>460</v>
      </c>
      <c r="E348" s="8" t="s">
        <v>454</v>
      </c>
      <c r="F348" s="8" t="s">
        <v>465</v>
      </c>
      <c r="G348" s="9" t="s">
        <v>466</v>
      </c>
      <c r="H348" s="21" t="n">
        <v>3</v>
      </c>
      <c r="I348" s="8" t="s">
        <v>288</v>
      </c>
      <c r="J348" s="8" t="s">
        <v>463</v>
      </c>
      <c r="K348" s="21" t="n">
        <v>65</v>
      </c>
      <c r="L348" s="21" t="n">
        <v>67</v>
      </c>
      <c r="M348" s="10" t="n">
        <v>122558924</v>
      </c>
      <c r="N348" s="10" t="n">
        <v>9586940</v>
      </c>
      <c r="O348" s="11" t="n">
        <f aca="false">ROUND((M348+N348)*0.18,0)</f>
        <v>23786256</v>
      </c>
      <c r="P348" s="11" t="n">
        <f aca="false">M348+N348+O348</f>
        <v>155932120</v>
      </c>
      <c r="Q348" s="9" t="s">
        <v>865</v>
      </c>
      <c r="R348" s="8" t="s">
        <v>303</v>
      </c>
      <c r="S348" s="8" t="s">
        <v>293</v>
      </c>
    </row>
    <row r="349" customFormat="false" ht="15" hidden="false" customHeight="false" outlineLevel="0" collapsed="false">
      <c r="B349" s="8" t="s">
        <v>188</v>
      </c>
      <c r="C349" s="8" t="s">
        <v>343</v>
      </c>
      <c r="D349" s="9" t="s">
        <v>467</v>
      </c>
      <c r="E349" s="8" t="s">
        <v>361</v>
      </c>
      <c r="F349" s="8" t="s">
        <v>346</v>
      </c>
      <c r="G349" s="9" t="s">
        <v>468</v>
      </c>
      <c r="H349" s="21" t="n">
        <v>4</v>
      </c>
      <c r="I349" s="8" t="s">
        <v>288</v>
      </c>
      <c r="J349" s="8" t="s">
        <v>445</v>
      </c>
      <c r="K349" s="21" t="n">
        <v>15</v>
      </c>
      <c r="L349" s="21" t="n">
        <v>18</v>
      </c>
      <c r="M349" s="10" t="n">
        <v>42424242</v>
      </c>
      <c r="N349" s="10" t="n">
        <v>0</v>
      </c>
      <c r="O349" s="11" t="n">
        <f aca="false">ROUND((M349+N349)*0.18,0)</f>
        <v>7636364</v>
      </c>
      <c r="P349" s="11" t="n">
        <f aca="false">M349+N349+O349</f>
        <v>50060606</v>
      </c>
      <c r="Q349" s="9" t="s">
        <v>865</v>
      </c>
      <c r="R349" s="8" t="s">
        <v>303</v>
      </c>
      <c r="S349" s="8" t="s">
        <v>293</v>
      </c>
    </row>
    <row r="350" customFormat="false" ht="15" hidden="false" customHeight="false" outlineLevel="0" collapsed="false">
      <c r="B350" s="8" t="s">
        <v>188</v>
      </c>
      <c r="C350" s="8" t="s">
        <v>343</v>
      </c>
      <c r="D350" s="9" t="s">
        <v>467</v>
      </c>
      <c r="E350" s="8" t="s">
        <v>361</v>
      </c>
      <c r="F350" s="8" t="s">
        <v>348</v>
      </c>
      <c r="G350" s="9" t="s">
        <v>469</v>
      </c>
      <c r="H350" s="21" t="n">
        <v>4</v>
      </c>
      <c r="I350" s="8" t="s">
        <v>288</v>
      </c>
      <c r="J350" s="8" t="s">
        <v>445</v>
      </c>
      <c r="K350" s="21" t="n">
        <v>15</v>
      </c>
      <c r="L350" s="21" t="n">
        <v>18</v>
      </c>
      <c r="M350" s="10" t="n">
        <v>42424242</v>
      </c>
      <c r="N350" s="10" t="n">
        <v>0</v>
      </c>
      <c r="O350" s="11" t="n">
        <f aca="false">ROUND((M350+N350)*0.18,0)</f>
        <v>7636364</v>
      </c>
      <c r="P350" s="11" t="n">
        <f aca="false">M350+N350+O350</f>
        <v>50060606</v>
      </c>
      <c r="Q350" s="9" t="s">
        <v>865</v>
      </c>
      <c r="R350" s="8" t="s">
        <v>303</v>
      </c>
      <c r="S350" s="8" t="s">
        <v>293</v>
      </c>
    </row>
    <row r="351" customFormat="false" ht="15" hidden="false" customHeight="false" outlineLevel="0" collapsed="false">
      <c r="B351" s="8" t="s">
        <v>188</v>
      </c>
      <c r="C351" s="8" t="s">
        <v>343</v>
      </c>
      <c r="D351" s="9" t="s">
        <v>467</v>
      </c>
      <c r="E351" s="8" t="s">
        <v>361</v>
      </c>
      <c r="F351" s="8" t="s">
        <v>403</v>
      </c>
      <c r="G351" s="9" t="s">
        <v>470</v>
      </c>
      <c r="H351" s="21" t="n">
        <v>3</v>
      </c>
      <c r="I351" s="8" t="s">
        <v>384</v>
      </c>
      <c r="J351" s="8" t="s">
        <v>348</v>
      </c>
      <c r="K351" s="21" t="n">
        <v>15</v>
      </c>
      <c r="L351" s="21" t="n">
        <v>17</v>
      </c>
      <c r="M351" s="10" t="n">
        <v>42424242</v>
      </c>
      <c r="N351" s="10" t="n">
        <v>0</v>
      </c>
      <c r="O351" s="11" t="n">
        <f aca="false">ROUND((M351+N351)*0.18,0)</f>
        <v>7636364</v>
      </c>
      <c r="P351" s="11" t="n">
        <f aca="false">M351+N351+O351</f>
        <v>50060606</v>
      </c>
      <c r="Q351" s="9" t="s">
        <v>865</v>
      </c>
      <c r="R351" s="8" t="s">
        <v>303</v>
      </c>
      <c r="S351" s="8" t="s">
        <v>293</v>
      </c>
    </row>
    <row r="352" customFormat="false" ht="15" hidden="false" customHeight="false" outlineLevel="0" collapsed="false">
      <c r="B352" s="8" t="s">
        <v>188</v>
      </c>
      <c r="C352" s="8" t="s">
        <v>343</v>
      </c>
      <c r="D352" s="9" t="s">
        <v>467</v>
      </c>
      <c r="E352" s="8" t="s">
        <v>361</v>
      </c>
      <c r="F352" s="8" t="s">
        <v>471</v>
      </c>
      <c r="G352" s="9" t="s">
        <v>472</v>
      </c>
      <c r="H352" s="21" t="n">
        <v>2</v>
      </c>
      <c r="I352" s="8" t="s">
        <v>288</v>
      </c>
      <c r="J352" s="8" t="s">
        <v>346</v>
      </c>
      <c r="K352" s="21" t="n">
        <v>19</v>
      </c>
      <c r="L352" s="21" t="n">
        <v>20</v>
      </c>
      <c r="M352" s="10" t="n">
        <v>42424242</v>
      </c>
      <c r="N352" s="10" t="n">
        <v>0</v>
      </c>
      <c r="O352" s="11" t="n">
        <f aca="false">ROUND((M352+N352)*0.18,0)</f>
        <v>7636364</v>
      </c>
      <c r="P352" s="11" t="n">
        <f aca="false">M352+N352+O352</f>
        <v>50060606</v>
      </c>
      <c r="Q352" s="9" t="s">
        <v>865</v>
      </c>
      <c r="R352" s="8" t="s">
        <v>303</v>
      </c>
      <c r="S352" s="8" t="s">
        <v>293</v>
      </c>
    </row>
    <row r="353" customFormat="false" ht="15" hidden="false" customHeight="false" outlineLevel="0" collapsed="false">
      <c r="B353" s="8" t="s">
        <v>188</v>
      </c>
      <c r="C353" s="8" t="s">
        <v>351</v>
      </c>
      <c r="D353" s="9" t="s">
        <v>473</v>
      </c>
      <c r="E353" s="8" t="s">
        <v>361</v>
      </c>
      <c r="F353" s="8" t="s">
        <v>353</v>
      </c>
      <c r="G353" s="9" t="s">
        <v>474</v>
      </c>
      <c r="H353" s="21" t="n">
        <v>3</v>
      </c>
      <c r="I353" s="8" t="s">
        <v>288</v>
      </c>
      <c r="J353" s="8" t="s">
        <v>465</v>
      </c>
      <c r="K353" s="21" t="n">
        <v>68</v>
      </c>
      <c r="L353" s="21" t="n">
        <v>70</v>
      </c>
      <c r="M353" s="10" t="n">
        <v>28282828</v>
      </c>
      <c r="N353" s="10" t="n">
        <v>0</v>
      </c>
      <c r="O353" s="11" t="n">
        <f aca="false">ROUND((M353+N353)*0.18,0)</f>
        <v>5090909</v>
      </c>
      <c r="P353" s="11" t="n">
        <f aca="false">M353+N353+O353</f>
        <v>33373737</v>
      </c>
      <c r="Q353" s="9" t="s">
        <v>865</v>
      </c>
      <c r="R353" s="8" t="s">
        <v>303</v>
      </c>
      <c r="S353" s="8" t="s">
        <v>293</v>
      </c>
    </row>
    <row r="354" customFormat="false" ht="15" hidden="false" customHeight="false" outlineLevel="0" collapsed="false">
      <c r="B354" s="8" t="s">
        <v>188</v>
      </c>
      <c r="C354" s="8" t="s">
        <v>351</v>
      </c>
      <c r="D354" s="9" t="s">
        <v>473</v>
      </c>
      <c r="E354" s="8" t="s">
        <v>361</v>
      </c>
      <c r="F354" s="8" t="s">
        <v>356</v>
      </c>
      <c r="G354" s="9" t="s">
        <v>475</v>
      </c>
      <c r="H354" s="21" t="n">
        <v>2</v>
      </c>
      <c r="I354" s="8" t="s">
        <v>288</v>
      </c>
      <c r="J354" s="8" t="s">
        <v>353</v>
      </c>
      <c r="K354" s="21" t="n">
        <v>71</v>
      </c>
      <c r="L354" s="21" t="n">
        <v>72</v>
      </c>
      <c r="M354" s="10" t="n">
        <v>28282828</v>
      </c>
      <c r="N354" s="10" t="n">
        <v>0</v>
      </c>
      <c r="O354" s="11" t="n">
        <f aca="false">ROUND((M354+N354)*0.18,0)</f>
        <v>5090909</v>
      </c>
      <c r="P354" s="11" t="n">
        <f aca="false">M354+N354+O354</f>
        <v>33373737</v>
      </c>
      <c r="Q354" s="9" t="s">
        <v>865</v>
      </c>
      <c r="R354" s="8" t="s">
        <v>303</v>
      </c>
      <c r="S354" s="8" t="s">
        <v>293</v>
      </c>
    </row>
    <row r="355" customFormat="false" ht="15" hidden="false" customHeight="false" outlineLevel="0" collapsed="false">
      <c r="B355" s="8" t="s">
        <v>188</v>
      </c>
      <c r="C355" s="8" t="s">
        <v>351</v>
      </c>
      <c r="D355" s="9" t="s">
        <v>473</v>
      </c>
      <c r="E355" s="8" t="s">
        <v>361</v>
      </c>
      <c r="F355" s="8" t="s">
        <v>408</v>
      </c>
      <c r="G355" s="9" t="s">
        <v>476</v>
      </c>
      <c r="H355" s="21" t="n">
        <v>3</v>
      </c>
      <c r="I355" s="8" t="s">
        <v>288</v>
      </c>
      <c r="J355" s="8" t="s">
        <v>356</v>
      </c>
      <c r="K355" s="21" t="n">
        <v>73</v>
      </c>
      <c r="L355" s="21" t="n">
        <v>75</v>
      </c>
      <c r="M355" s="10" t="n">
        <v>28282828</v>
      </c>
      <c r="N355" s="10" t="n">
        <v>0</v>
      </c>
      <c r="O355" s="11" t="n">
        <f aca="false">ROUND((M355+N355)*0.18,0)</f>
        <v>5090909</v>
      </c>
      <c r="P355" s="11" t="n">
        <f aca="false">M355+N355+O355</f>
        <v>33373737</v>
      </c>
      <c r="Q355" s="9" t="s">
        <v>865</v>
      </c>
      <c r="R355" s="8" t="s">
        <v>303</v>
      </c>
      <c r="S355" s="8" t="s">
        <v>293</v>
      </c>
    </row>
    <row r="356" customFormat="false" ht="15" hidden="false" customHeight="false" outlineLevel="0" collapsed="false">
      <c r="B356" s="8" t="s">
        <v>188</v>
      </c>
      <c r="C356" s="8" t="s">
        <v>351</v>
      </c>
      <c r="D356" s="9" t="s">
        <v>473</v>
      </c>
      <c r="E356" s="8" t="s">
        <v>361</v>
      </c>
      <c r="F356" s="8" t="s">
        <v>410</v>
      </c>
      <c r="G356" s="9" t="s">
        <v>477</v>
      </c>
      <c r="H356" s="21" t="n">
        <v>2</v>
      </c>
      <c r="I356" s="8" t="s">
        <v>288</v>
      </c>
      <c r="J356" s="8" t="s">
        <v>408</v>
      </c>
      <c r="K356" s="21" t="n">
        <v>76</v>
      </c>
      <c r="L356" s="21" t="n">
        <v>77</v>
      </c>
      <c r="M356" s="10" t="n">
        <v>28282830</v>
      </c>
      <c r="N356" s="10" t="n">
        <v>0</v>
      </c>
      <c r="O356" s="11" t="n">
        <f aca="false">ROUND((M356+N356)*0.18,0)</f>
        <v>5090909</v>
      </c>
      <c r="P356" s="11" t="n">
        <f aca="false">M356+N356+O356</f>
        <v>33373739</v>
      </c>
      <c r="Q356" s="9" t="s">
        <v>865</v>
      </c>
      <c r="R356" s="8" t="s">
        <v>303</v>
      </c>
      <c r="S356" s="8" t="s">
        <v>293</v>
      </c>
    </row>
    <row r="357" customFormat="false" ht="22.35" hidden="false" customHeight="false" outlineLevel="0" collapsed="false">
      <c r="B357" s="8" t="s">
        <v>192</v>
      </c>
      <c r="C357" s="8" t="s">
        <v>279</v>
      </c>
      <c r="D357" s="9" t="s">
        <v>367</v>
      </c>
      <c r="E357" s="8" t="s">
        <v>81</v>
      </c>
      <c r="F357" s="8" t="s">
        <v>281</v>
      </c>
      <c r="G357" s="9" t="s">
        <v>368</v>
      </c>
      <c r="H357" s="21" t="n">
        <v>6</v>
      </c>
      <c r="I357" s="8"/>
      <c r="J357" s="8"/>
      <c r="K357" s="21" t="n">
        <v>1</v>
      </c>
      <c r="L357" s="21" t="n">
        <v>6</v>
      </c>
      <c r="M357" s="10" t="n">
        <v>8000000</v>
      </c>
      <c r="N357" s="10" t="n">
        <v>0</v>
      </c>
      <c r="O357" s="11" t="n">
        <f aca="false">ROUND((M357+N357)*0.18,0)</f>
        <v>1440000</v>
      </c>
      <c r="P357" s="11" t="n">
        <f aca="false">M357+N357+O357</f>
        <v>9440000</v>
      </c>
      <c r="Q357" s="9" t="s">
        <v>866</v>
      </c>
      <c r="R357" s="8" t="s">
        <v>303</v>
      </c>
      <c r="S357" s="8" t="s">
        <v>293</v>
      </c>
    </row>
    <row r="358" customFormat="false" ht="15" hidden="false" customHeight="false" outlineLevel="0" collapsed="false">
      <c r="B358" s="8" t="s">
        <v>192</v>
      </c>
      <c r="C358" s="8" t="s">
        <v>279</v>
      </c>
      <c r="D358" s="9" t="s">
        <v>367</v>
      </c>
      <c r="E358" s="8" t="s">
        <v>81</v>
      </c>
      <c r="F358" s="8" t="s">
        <v>286</v>
      </c>
      <c r="G358" s="9" t="s">
        <v>370</v>
      </c>
      <c r="H358" s="21" t="n">
        <v>4</v>
      </c>
      <c r="I358" s="8" t="s">
        <v>288</v>
      </c>
      <c r="J358" s="8" t="s">
        <v>281</v>
      </c>
      <c r="K358" s="21" t="n">
        <v>7</v>
      </c>
      <c r="L358" s="21" t="n">
        <v>10</v>
      </c>
      <c r="M358" s="10" t="n">
        <v>5000000</v>
      </c>
      <c r="N358" s="10" t="n">
        <v>0</v>
      </c>
      <c r="O358" s="11" t="n">
        <f aca="false">ROUND((M358+N358)*0.18,0)</f>
        <v>900000</v>
      </c>
      <c r="P358" s="11" t="n">
        <f aca="false">M358+N358+O358</f>
        <v>5900000</v>
      </c>
      <c r="Q358" s="9" t="s">
        <v>867</v>
      </c>
      <c r="R358" s="8" t="s">
        <v>303</v>
      </c>
      <c r="S358" s="8" t="s">
        <v>293</v>
      </c>
    </row>
    <row r="359" customFormat="false" ht="22.35" hidden="false" customHeight="false" outlineLevel="0" collapsed="false">
      <c r="B359" s="8" t="s">
        <v>192</v>
      </c>
      <c r="C359" s="8" t="s">
        <v>279</v>
      </c>
      <c r="D359" s="9" t="s">
        <v>367</v>
      </c>
      <c r="E359" s="8" t="s">
        <v>81</v>
      </c>
      <c r="F359" s="8" t="s">
        <v>290</v>
      </c>
      <c r="G359" s="9" t="s">
        <v>372</v>
      </c>
      <c r="H359" s="21" t="n">
        <v>6</v>
      </c>
      <c r="I359" s="8" t="s">
        <v>288</v>
      </c>
      <c r="J359" s="8" t="s">
        <v>286</v>
      </c>
      <c r="K359" s="21" t="n">
        <v>11</v>
      </c>
      <c r="L359" s="21" t="n">
        <v>16</v>
      </c>
      <c r="M359" s="10" t="n">
        <v>12000000</v>
      </c>
      <c r="N359" s="10" t="n">
        <v>0</v>
      </c>
      <c r="O359" s="11" t="n">
        <f aca="false">ROUND((M359+N359)*0.18,0)</f>
        <v>2160000</v>
      </c>
      <c r="P359" s="11" t="n">
        <f aca="false">M359+N359+O359</f>
        <v>14160000</v>
      </c>
      <c r="Q359" s="9" t="s">
        <v>868</v>
      </c>
      <c r="R359" s="8" t="s">
        <v>303</v>
      </c>
      <c r="S359" s="8" t="s">
        <v>293</v>
      </c>
    </row>
    <row r="360" customFormat="false" ht="22.35" hidden="false" customHeight="false" outlineLevel="0" collapsed="false">
      <c r="B360" s="8" t="s">
        <v>192</v>
      </c>
      <c r="C360" s="8" t="s">
        <v>279</v>
      </c>
      <c r="D360" s="9" t="s">
        <v>367</v>
      </c>
      <c r="E360" s="8" t="s">
        <v>81</v>
      </c>
      <c r="F360" s="8" t="s">
        <v>294</v>
      </c>
      <c r="G360" s="9" t="s">
        <v>374</v>
      </c>
      <c r="H360" s="21" t="n">
        <v>8</v>
      </c>
      <c r="I360" s="8" t="s">
        <v>288</v>
      </c>
      <c r="J360" s="8" t="s">
        <v>286</v>
      </c>
      <c r="K360" s="21" t="n">
        <v>11</v>
      </c>
      <c r="L360" s="21" t="n">
        <v>18</v>
      </c>
      <c r="M360" s="10" t="n">
        <v>6000000</v>
      </c>
      <c r="N360" s="10" t="n">
        <v>0</v>
      </c>
      <c r="O360" s="11" t="n">
        <f aca="false">ROUND((M360+N360)*0.18,0)</f>
        <v>1080000</v>
      </c>
      <c r="P360" s="11" t="n">
        <f aca="false">M360+N360+O360</f>
        <v>7080000</v>
      </c>
      <c r="Q360" s="9" t="s">
        <v>869</v>
      </c>
      <c r="R360" s="8" t="s">
        <v>303</v>
      </c>
      <c r="S360" s="8" t="s">
        <v>293</v>
      </c>
    </row>
    <row r="361" customFormat="false" ht="22.35" hidden="false" customHeight="false" outlineLevel="0" collapsed="false">
      <c r="B361" s="8" t="s">
        <v>192</v>
      </c>
      <c r="C361" s="8" t="s">
        <v>279</v>
      </c>
      <c r="D361" s="9" t="s">
        <v>367</v>
      </c>
      <c r="E361" s="8" t="s">
        <v>81</v>
      </c>
      <c r="F361" s="8" t="s">
        <v>376</v>
      </c>
      <c r="G361" s="9" t="s">
        <v>377</v>
      </c>
      <c r="H361" s="21" t="n">
        <v>6</v>
      </c>
      <c r="I361" s="8" t="s">
        <v>288</v>
      </c>
      <c r="J361" s="8" t="s">
        <v>290</v>
      </c>
      <c r="K361" s="21" t="n">
        <v>17</v>
      </c>
      <c r="L361" s="21" t="n">
        <v>22</v>
      </c>
      <c r="M361" s="10" t="n">
        <v>4000000</v>
      </c>
      <c r="N361" s="10" t="n">
        <v>0</v>
      </c>
      <c r="O361" s="11" t="n">
        <f aca="false">ROUND((M361+N361)*0.18,0)</f>
        <v>720000</v>
      </c>
      <c r="P361" s="11" t="n">
        <f aca="false">M361+N361+O361</f>
        <v>4720000</v>
      </c>
      <c r="Q361" s="9" t="s">
        <v>870</v>
      </c>
      <c r="R361" s="8" t="s">
        <v>303</v>
      </c>
      <c r="S361" s="8" t="s">
        <v>293</v>
      </c>
    </row>
    <row r="362" customFormat="false" ht="15" hidden="false" customHeight="false" outlineLevel="0" collapsed="false">
      <c r="B362" s="8" t="s">
        <v>192</v>
      </c>
      <c r="C362" s="8" t="s">
        <v>297</v>
      </c>
      <c r="D362" s="9" t="s">
        <v>379</v>
      </c>
      <c r="E362" s="8" t="s">
        <v>299</v>
      </c>
      <c r="F362" s="8" t="s">
        <v>300</v>
      </c>
      <c r="G362" s="9" t="s">
        <v>380</v>
      </c>
      <c r="H362" s="21" t="n">
        <v>6</v>
      </c>
      <c r="I362" s="8" t="s">
        <v>288</v>
      </c>
      <c r="J362" s="8" t="s">
        <v>376</v>
      </c>
      <c r="K362" s="21" t="n">
        <v>23</v>
      </c>
      <c r="L362" s="21" t="n">
        <v>28</v>
      </c>
      <c r="M362" s="10" t="n">
        <v>35000000</v>
      </c>
      <c r="N362" s="10" t="n">
        <v>0</v>
      </c>
      <c r="O362" s="11" t="n">
        <f aca="false">ROUND((M362+N362)*0.18,0)</f>
        <v>6300000</v>
      </c>
      <c r="P362" s="11" t="n">
        <f aca="false">M362+N362+O362</f>
        <v>41300000</v>
      </c>
      <c r="Q362" s="9" t="s">
        <v>871</v>
      </c>
      <c r="R362" s="8" t="s">
        <v>303</v>
      </c>
      <c r="S362" s="8" t="s">
        <v>293</v>
      </c>
    </row>
    <row r="363" customFormat="false" ht="22.35" hidden="false" customHeight="false" outlineLevel="0" collapsed="false">
      <c r="B363" s="8" t="s">
        <v>192</v>
      </c>
      <c r="C363" s="8" t="s">
        <v>297</v>
      </c>
      <c r="D363" s="9" t="s">
        <v>379</v>
      </c>
      <c r="E363" s="8" t="s">
        <v>299</v>
      </c>
      <c r="F363" s="8" t="s">
        <v>304</v>
      </c>
      <c r="G363" s="9" t="s">
        <v>381</v>
      </c>
      <c r="H363" s="21" t="n">
        <v>4</v>
      </c>
      <c r="I363" s="8" t="s">
        <v>288</v>
      </c>
      <c r="J363" s="8" t="s">
        <v>300</v>
      </c>
      <c r="K363" s="21" t="n">
        <v>29</v>
      </c>
      <c r="L363" s="21" t="n">
        <v>32</v>
      </c>
      <c r="M363" s="10" t="n">
        <v>10000000</v>
      </c>
      <c r="N363" s="10" t="n">
        <v>0</v>
      </c>
      <c r="O363" s="11" t="n">
        <f aca="false">ROUND((M363+N363)*0.18,0)</f>
        <v>1800000</v>
      </c>
      <c r="P363" s="11" t="n">
        <f aca="false">M363+N363+O363</f>
        <v>11800000</v>
      </c>
      <c r="Q363" s="9" t="s">
        <v>872</v>
      </c>
      <c r="R363" s="8" t="s">
        <v>303</v>
      </c>
      <c r="S363" s="8" t="s">
        <v>293</v>
      </c>
    </row>
    <row r="364" customFormat="false" ht="22.35" hidden="false" customHeight="false" outlineLevel="0" collapsed="false">
      <c r="B364" s="8" t="s">
        <v>192</v>
      </c>
      <c r="C364" s="8" t="s">
        <v>297</v>
      </c>
      <c r="D364" s="9" t="s">
        <v>379</v>
      </c>
      <c r="E364" s="8" t="s">
        <v>299</v>
      </c>
      <c r="F364" s="8" t="s">
        <v>307</v>
      </c>
      <c r="G364" s="9" t="s">
        <v>383</v>
      </c>
      <c r="H364" s="21" t="n">
        <v>6</v>
      </c>
      <c r="I364" s="8" t="s">
        <v>384</v>
      </c>
      <c r="J364" s="8" t="s">
        <v>300</v>
      </c>
      <c r="K364" s="21" t="n">
        <v>23</v>
      </c>
      <c r="L364" s="21" t="n">
        <v>28</v>
      </c>
      <c r="M364" s="10" t="n">
        <v>15000000</v>
      </c>
      <c r="N364" s="10" t="n">
        <v>0</v>
      </c>
      <c r="O364" s="11" t="n">
        <f aca="false">ROUND((M364+N364)*0.18,0)</f>
        <v>2700000</v>
      </c>
      <c r="P364" s="11" t="n">
        <f aca="false">M364+N364+O364</f>
        <v>17700000</v>
      </c>
      <c r="Q364" s="9" t="s">
        <v>873</v>
      </c>
      <c r="R364" s="8" t="s">
        <v>303</v>
      </c>
      <c r="S364" s="8" t="s">
        <v>293</v>
      </c>
    </row>
    <row r="365" customFormat="false" ht="22.35" hidden="false" customHeight="false" outlineLevel="0" collapsed="false">
      <c r="B365" s="8" t="s">
        <v>192</v>
      </c>
      <c r="C365" s="8" t="s">
        <v>310</v>
      </c>
      <c r="D365" s="9" t="s">
        <v>386</v>
      </c>
      <c r="E365" s="8" t="s">
        <v>299</v>
      </c>
      <c r="F365" s="8" t="s">
        <v>312</v>
      </c>
      <c r="G365" s="9" t="s">
        <v>387</v>
      </c>
      <c r="H365" s="21" t="n">
        <v>5</v>
      </c>
      <c r="I365" s="8" t="s">
        <v>288</v>
      </c>
      <c r="J365" s="8" t="s">
        <v>300</v>
      </c>
      <c r="K365" s="21" t="n">
        <v>29</v>
      </c>
      <c r="L365" s="21" t="n">
        <v>33</v>
      </c>
      <c r="M365" s="10" t="n">
        <v>70000000</v>
      </c>
      <c r="N365" s="10" t="n">
        <v>0</v>
      </c>
      <c r="O365" s="11" t="n">
        <f aca="false">ROUND((M365+N365)*0.18,0)</f>
        <v>12600000</v>
      </c>
      <c r="P365" s="11" t="n">
        <f aca="false">M365+N365+O365</f>
        <v>82600000</v>
      </c>
      <c r="Q365" s="9" t="s">
        <v>874</v>
      </c>
      <c r="R365" s="8" t="s">
        <v>303</v>
      </c>
      <c r="S365" s="8" t="s">
        <v>293</v>
      </c>
    </row>
    <row r="366" customFormat="false" ht="15" hidden="false" customHeight="false" outlineLevel="0" collapsed="false">
      <c r="B366" s="8" t="s">
        <v>192</v>
      </c>
      <c r="C366" s="8" t="s">
        <v>310</v>
      </c>
      <c r="D366" s="9" t="s">
        <v>386</v>
      </c>
      <c r="E366" s="8" t="s">
        <v>299</v>
      </c>
      <c r="F366" s="8" t="s">
        <v>315</v>
      </c>
      <c r="G366" s="9" t="s">
        <v>389</v>
      </c>
      <c r="H366" s="21" t="n">
        <v>4</v>
      </c>
      <c r="I366" s="8" t="s">
        <v>288</v>
      </c>
      <c r="J366" s="8" t="s">
        <v>312</v>
      </c>
      <c r="K366" s="21" t="n">
        <v>34</v>
      </c>
      <c r="L366" s="21" t="n">
        <v>37</v>
      </c>
      <c r="M366" s="10" t="n">
        <v>65000000</v>
      </c>
      <c r="N366" s="10" t="n">
        <v>0</v>
      </c>
      <c r="O366" s="11" t="n">
        <f aca="false">ROUND((M366+N366)*0.18,0)</f>
        <v>11700000</v>
      </c>
      <c r="P366" s="11" t="n">
        <f aca="false">M366+N366+O366</f>
        <v>76700000</v>
      </c>
      <c r="Q366" s="9" t="s">
        <v>875</v>
      </c>
      <c r="R366" s="8" t="s">
        <v>303</v>
      </c>
      <c r="S366" s="8" t="s">
        <v>293</v>
      </c>
    </row>
    <row r="367" customFormat="false" ht="15" hidden="false" customHeight="false" outlineLevel="0" collapsed="false">
      <c r="B367" s="8" t="s">
        <v>192</v>
      </c>
      <c r="C367" s="8" t="s">
        <v>310</v>
      </c>
      <c r="D367" s="9" t="s">
        <v>386</v>
      </c>
      <c r="E367" s="8" t="s">
        <v>299</v>
      </c>
      <c r="F367" s="8" t="s">
        <v>318</v>
      </c>
      <c r="G367" s="9" t="s">
        <v>390</v>
      </c>
      <c r="H367" s="21" t="n">
        <v>6</v>
      </c>
      <c r="I367" s="8" t="s">
        <v>288</v>
      </c>
      <c r="J367" s="8" t="s">
        <v>315</v>
      </c>
      <c r="K367" s="21" t="n">
        <v>38</v>
      </c>
      <c r="L367" s="21" t="n">
        <v>43</v>
      </c>
      <c r="M367" s="10" t="n">
        <v>45000000</v>
      </c>
      <c r="N367" s="10" t="n">
        <v>0</v>
      </c>
      <c r="O367" s="11" t="n">
        <f aca="false">ROUND((M367+N367)*0.18,0)</f>
        <v>8100000</v>
      </c>
      <c r="P367" s="11" t="n">
        <f aca="false">M367+N367+O367</f>
        <v>53100000</v>
      </c>
      <c r="Q367" s="9" t="s">
        <v>875</v>
      </c>
      <c r="R367" s="8" t="s">
        <v>303</v>
      </c>
      <c r="S367" s="8" t="s">
        <v>293</v>
      </c>
    </row>
    <row r="368" customFormat="false" ht="22.35" hidden="false" customHeight="false" outlineLevel="0" collapsed="false">
      <c r="B368" s="8" t="s">
        <v>192</v>
      </c>
      <c r="C368" s="8" t="s">
        <v>320</v>
      </c>
      <c r="D368" s="9" t="s">
        <v>391</v>
      </c>
      <c r="E368" s="8" t="s">
        <v>299</v>
      </c>
      <c r="F368" s="8" t="s">
        <v>323</v>
      </c>
      <c r="G368" s="9" t="s">
        <v>392</v>
      </c>
      <c r="H368" s="21" t="n">
        <v>7</v>
      </c>
      <c r="I368" s="8" t="s">
        <v>288</v>
      </c>
      <c r="J368" s="8" t="s">
        <v>376</v>
      </c>
      <c r="K368" s="21" t="n">
        <v>23</v>
      </c>
      <c r="L368" s="21" t="n">
        <v>29</v>
      </c>
      <c r="M368" s="10" t="n">
        <v>190000000</v>
      </c>
      <c r="N368" s="10" t="n">
        <v>0</v>
      </c>
      <c r="O368" s="11" t="n">
        <f aca="false">ROUND((M368+N368)*0.18,0)</f>
        <v>34200000</v>
      </c>
      <c r="P368" s="11" t="n">
        <f aca="false">M368+N368+O368</f>
        <v>224200000</v>
      </c>
      <c r="Q368" s="9" t="s">
        <v>876</v>
      </c>
      <c r="R368" s="8" t="s">
        <v>303</v>
      </c>
      <c r="S368" s="8" t="s">
        <v>293</v>
      </c>
    </row>
    <row r="369" customFormat="false" ht="15" hidden="false" customHeight="false" outlineLevel="0" collapsed="false">
      <c r="B369" s="8" t="s">
        <v>192</v>
      </c>
      <c r="C369" s="8" t="s">
        <v>320</v>
      </c>
      <c r="D369" s="9" t="s">
        <v>391</v>
      </c>
      <c r="E369" s="8" t="s">
        <v>299</v>
      </c>
      <c r="F369" s="8" t="s">
        <v>326</v>
      </c>
      <c r="G369" s="9" t="s">
        <v>394</v>
      </c>
      <c r="H369" s="21" t="n">
        <v>6</v>
      </c>
      <c r="I369" s="8" t="s">
        <v>288</v>
      </c>
      <c r="J369" s="8" t="s">
        <v>315</v>
      </c>
      <c r="K369" s="21" t="n">
        <v>38</v>
      </c>
      <c r="L369" s="21" t="n">
        <v>43</v>
      </c>
      <c r="M369" s="10" t="n">
        <v>60000000</v>
      </c>
      <c r="N369" s="10" t="n">
        <v>0</v>
      </c>
      <c r="O369" s="11" t="n">
        <f aca="false">ROUND((M369+N369)*0.18,0)</f>
        <v>10800000</v>
      </c>
      <c r="P369" s="11" t="n">
        <f aca="false">M369+N369+O369</f>
        <v>70800000</v>
      </c>
      <c r="Q369" s="9" t="s">
        <v>875</v>
      </c>
      <c r="R369" s="8" t="s">
        <v>303</v>
      </c>
      <c r="S369" s="8" t="s">
        <v>293</v>
      </c>
    </row>
    <row r="370" customFormat="false" ht="15" hidden="false" customHeight="false" outlineLevel="0" collapsed="false">
      <c r="B370" s="8" t="s">
        <v>192</v>
      </c>
      <c r="C370" s="8" t="s">
        <v>320</v>
      </c>
      <c r="D370" s="9" t="s">
        <v>391</v>
      </c>
      <c r="E370" s="8" t="s">
        <v>299</v>
      </c>
      <c r="F370" s="8" t="s">
        <v>329</v>
      </c>
      <c r="G370" s="9" t="s">
        <v>395</v>
      </c>
      <c r="H370" s="21" t="n">
        <v>5</v>
      </c>
      <c r="I370" s="8" t="s">
        <v>288</v>
      </c>
      <c r="J370" s="8" t="s">
        <v>326</v>
      </c>
      <c r="K370" s="21" t="n">
        <v>44</v>
      </c>
      <c r="L370" s="21" t="n">
        <v>48</v>
      </c>
      <c r="M370" s="10" t="n">
        <v>30000000</v>
      </c>
      <c r="N370" s="10" t="n">
        <v>0</v>
      </c>
      <c r="O370" s="11" t="n">
        <f aca="false">ROUND((M370+N370)*0.18,0)</f>
        <v>5400000</v>
      </c>
      <c r="P370" s="11" t="n">
        <f aca="false">M370+N370+O370</f>
        <v>35400000</v>
      </c>
      <c r="Q370" s="9" t="s">
        <v>875</v>
      </c>
      <c r="R370" s="8" t="s">
        <v>303</v>
      </c>
      <c r="S370" s="8" t="s">
        <v>293</v>
      </c>
    </row>
    <row r="371" customFormat="false" ht="22.35" hidden="false" customHeight="false" outlineLevel="0" collapsed="false">
      <c r="B371" s="8" t="s">
        <v>192</v>
      </c>
      <c r="C371" s="8" t="s">
        <v>335</v>
      </c>
      <c r="D371" s="9" t="s">
        <v>396</v>
      </c>
      <c r="E371" s="8" t="s">
        <v>322</v>
      </c>
      <c r="F371" s="8" t="s">
        <v>337</v>
      </c>
      <c r="G371" s="9" t="s">
        <v>397</v>
      </c>
      <c r="H371" s="21" t="n">
        <v>12</v>
      </c>
      <c r="I371" s="8" t="s">
        <v>288</v>
      </c>
      <c r="J371" s="8" t="s">
        <v>376</v>
      </c>
      <c r="K371" s="21" t="n">
        <v>23</v>
      </c>
      <c r="L371" s="21" t="n">
        <v>34</v>
      </c>
      <c r="M371" s="10" t="n">
        <v>130000000</v>
      </c>
      <c r="N371" s="10" t="n">
        <v>18055556</v>
      </c>
      <c r="O371" s="11" t="n">
        <f aca="false">ROUND((M371+N371)*0.18,0)</f>
        <v>26650000</v>
      </c>
      <c r="P371" s="11" t="n">
        <f aca="false">M371+N371+O371</f>
        <v>174705556</v>
      </c>
      <c r="Q371" s="9" t="s">
        <v>877</v>
      </c>
      <c r="R371" s="8" t="s">
        <v>303</v>
      </c>
      <c r="S371" s="8" t="s">
        <v>293</v>
      </c>
    </row>
    <row r="372" customFormat="false" ht="22.35" hidden="false" customHeight="false" outlineLevel="0" collapsed="false">
      <c r="B372" s="8" t="s">
        <v>192</v>
      </c>
      <c r="C372" s="8" t="s">
        <v>335</v>
      </c>
      <c r="D372" s="9" t="s">
        <v>396</v>
      </c>
      <c r="E372" s="8" t="s">
        <v>322</v>
      </c>
      <c r="F372" s="8" t="s">
        <v>340</v>
      </c>
      <c r="G372" s="9" t="s">
        <v>327</v>
      </c>
      <c r="H372" s="21" t="n">
        <v>5</v>
      </c>
      <c r="I372" s="8" t="s">
        <v>288</v>
      </c>
      <c r="J372" s="8" t="s">
        <v>337</v>
      </c>
      <c r="K372" s="21" t="n">
        <v>35</v>
      </c>
      <c r="L372" s="21" t="n">
        <v>39</v>
      </c>
      <c r="M372" s="10" t="n">
        <v>0</v>
      </c>
      <c r="N372" s="10" t="n">
        <v>0</v>
      </c>
      <c r="O372" s="11" t="n">
        <f aca="false">ROUND((M372+N372)*0.18,0)</f>
        <v>0</v>
      </c>
      <c r="P372" s="11" t="n">
        <f aca="false">M372+N372+O372</f>
        <v>0</v>
      </c>
      <c r="Q372" s="9" t="s">
        <v>878</v>
      </c>
      <c r="R372" s="8" t="s">
        <v>303</v>
      </c>
      <c r="S372" s="8" t="s">
        <v>293</v>
      </c>
    </row>
    <row r="373" customFormat="false" ht="22.35" hidden="false" customHeight="false" outlineLevel="0" collapsed="false">
      <c r="B373" s="8" t="s">
        <v>192</v>
      </c>
      <c r="C373" s="8" t="s">
        <v>335</v>
      </c>
      <c r="D373" s="9" t="s">
        <v>396</v>
      </c>
      <c r="E373" s="8" t="s">
        <v>322</v>
      </c>
      <c r="F373" s="8" t="s">
        <v>341</v>
      </c>
      <c r="G373" s="9" t="s">
        <v>399</v>
      </c>
      <c r="H373" s="21" t="n">
        <v>5</v>
      </c>
      <c r="I373" s="8" t="s">
        <v>288</v>
      </c>
      <c r="J373" s="8" t="s">
        <v>329</v>
      </c>
      <c r="K373" s="21" t="n">
        <v>49</v>
      </c>
      <c r="L373" s="21" t="n">
        <v>53</v>
      </c>
      <c r="M373" s="10" t="n">
        <v>0</v>
      </c>
      <c r="N373" s="10" t="n">
        <v>0</v>
      </c>
      <c r="O373" s="11" t="n">
        <f aca="false">ROUND((M373+N373)*0.18,0)</f>
        <v>0</v>
      </c>
      <c r="P373" s="11" t="n">
        <f aca="false">M373+N373+O373</f>
        <v>0</v>
      </c>
      <c r="Q373" s="9" t="s">
        <v>879</v>
      </c>
      <c r="R373" s="8" t="s">
        <v>303</v>
      </c>
      <c r="S373" s="8" t="s">
        <v>293</v>
      </c>
    </row>
    <row r="374" customFormat="false" ht="22.35" hidden="false" customHeight="false" outlineLevel="0" collapsed="false">
      <c r="B374" s="8" t="s">
        <v>192</v>
      </c>
      <c r="C374" s="8" t="s">
        <v>343</v>
      </c>
      <c r="D374" s="9" t="s">
        <v>400</v>
      </c>
      <c r="E374" s="8" t="s">
        <v>322</v>
      </c>
      <c r="F374" s="8" t="s">
        <v>346</v>
      </c>
      <c r="G374" s="9" t="s">
        <v>401</v>
      </c>
      <c r="H374" s="21" t="n">
        <v>12</v>
      </c>
      <c r="I374" s="8" t="s">
        <v>288</v>
      </c>
      <c r="J374" s="8" t="s">
        <v>376</v>
      </c>
      <c r="K374" s="21" t="n">
        <v>23</v>
      </c>
      <c r="L374" s="21" t="n">
        <v>34</v>
      </c>
      <c r="M374" s="10" t="n">
        <v>110000000</v>
      </c>
      <c r="N374" s="10" t="n">
        <v>15277778</v>
      </c>
      <c r="O374" s="11" t="n">
        <f aca="false">ROUND((M374+N374)*0.18,0)</f>
        <v>22550000</v>
      </c>
      <c r="P374" s="11" t="n">
        <f aca="false">M374+N374+O374</f>
        <v>147827778</v>
      </c>
      <c r="Q374" s="9" t="s">
        <v>880</v>
      </c>
      <c r="R374" s="8" t="s">
        <v>303</v>
      </c>
      <c r="S374" s="8" t="s">
        <v>293</v>
      </c>
    </row>
    <row r="375" customFormat="false" ht="22.35" hidden="false" customHeight="false" outlineLevel="0" collapsed="false">
      <c r="B375" s="8" t="s">
        <v>192</v>
      </c>
      <c r="C375" s="8" t="s">
        <v>343</v>
      </c>
      <c r="D375" s="9" t="s">
        <v>400</v>
      </c>
      <c r="E375" s="8" t="s">
        <v>322</v>
      </c>
      <c r="F375" s="8" t="s">
        <v>348</v>
      </c>
      <c r="G375" s="9" t="s">
        <v>327</v>
      </c>
      <c r="H375" s="21" t="n">
        <v>5</v>
      </c>
      <c r="I375" s="8" t="s">
        <v>288</v>
      </c>
      <c r="J375" s="8" t="s">
        <v>346</v>
      </c>
      <c r="K375" s="21" t="n">
        <v>35</v>
      </c>
      <c r="L375" s="21" t="n">
        <v>39</v>
      </c>
      <c r="M375" s="10" t="n">
        <v>0</v>
      </c>
      <c r="N375" s="10" t="n">
        <v>0</v>
      </c>
      <c r="O375" s="11" t="n">
        <f aca="false">ROUND((M375+N375)*0.18,0)</f>
        <v>0</v>
      </c>
      <c r="P375" s="11" t="n">
        <f aca="false">M375+N375+O375</f>
        <v>0</v>
      </c>
      <c r="Q375" s="9" t="s">
        <v>878</v>
      </c>
      <c r="R375" s="8" t="s">
        <v>303</v>
      </c>
      <c r="S375" s="8" t="s">
        <v>293</v>
      </c>
    </row>
    <row r="376" customFormat="false" ht="22.35" hidden="false" customHeight="false" outlineLevel="0" collapsed="false">
      <c r="B376" s="8" t="s">
        <v>192</v>
      </c>
      <c r="C376" s="8" t="s">
        <v>343</v>
      </c>
      <c r="D376" s="9" t="s">
        <v>400</v>
      </c>
      <c r="E376" s="8" t="s">
        <v>322</v>
      </c>
      <c r="F376" s="8" t="s">
        <v>403</v>
      </c>
      <c r="G376" s="9" t="s">
        <v>404</v>
      </c>
      <c r="H376" s="21" t="n">
        <v>5</v>
      </c>
      <c r="I376" s="8" t="s">
        <v>288</v>
      </c>
      <c r="J376" s="8" t="s">
        <v>341</v>
      </c>
      <c r="K376" s="21" t="n">
        <v>54</v>
      </c>
      <c r="L376" s="21" t="n">
        <v>58</v>
      </c>
      <c r="M376" s="10" t="n">
        <v>0</v>
      </c>
      <c r="N376" s="10" t="n">
        <v>0</v>
      </c>
      <c r="O376" s="11" t="n">
        <f aca="false">ROUND((M376+N376)*0.18,0)</f>
        <v>0</v>
      </c>
      <c r="P376" s="11" t="n">
        <f aca="false">M376+N376+O376</f>
        <v>0</v>
      </c>
      <c r="Q376" s="9" t="s">
        <v>879</v>
      </c>
      <c r="R376" s="8" t="s">
        <v>303</v>
      </c>
      <c r="S376" s="8" t="s">
        <v>293</v>
      </c>
    </row>
    <row r="377" customFormat="false" ht="22.35" hidden="false" customHeight="false" outlineLevel="0" collapsed="false">
      <c r="B377" s="8" t="s">
        <v>192</v>
      </c>
      <c r="C377" s="8" t="s">
        <v>351</v>
      </c>
      <c r="D377" s="9" t="s">
        <v>405</v>
      </c>
      <c r="E377" s="8" t="s">
        <v>345</v>
      </c>
      <c r="F377" s="8" t="s">
        <v>353</v>
      </c>
      <c r="G377" s="9" t="s">
        <v>406</v>
      </c>
      <c r="H377" s="21" t="n">
        <v>10</v>
      </c>
      <c r="I377" s="8" t="s">
        <v>288</v>
      </c>
      <c r="J377" s="8" t="s">
        <v>376</v>
      </c>
      <c r="K377" s="21" t="n">
        <v>23</v>
      </c>
      <c r="L377" s="21" t="n">
        <v>32</v>
      </c>
      <c r="M377" s="10" t="n">
        <v>80000000</v>
      </c>
      <c r="N377" s="10" t="n">
        <v>11111111</v>
      </c>
      <c r="O377" s="11" t="n">
        <f aca="false">ROUND((M377+N377)*0.18,0)</f>
        <v>16400000</v>
      </c>
      <c r="P377" s="11" t="n">
        <f aca="false">M377+N377+O377</f>
        <v>107511111</v>
      </c>
      <c r="Q377" s="9" t="s">
        <v>881</v>
      </c>
      <c r="R377" s="8" t="s">
        <v>303</v>
      </c>
      <c r="S377" s="8" t="s">
        <v>293</v>
      </c>
    </row>
    <row r="378" customFormat="false" ht="22.35" hidden="false" customHeight="false" outlineLevel="0" collapsed="false">
      <c r="B378" s="8" t="s">
        <v>192</v>
      </c>
      <c r="C378" s="8" t="s">
        <v>351</v>
      </c>
      <c r="D378" s="9" t="s">
        <v>405</v>
      </c>
      <c r="E378" s="8" t="s">
        <v>345</v>
      </c>
      <c r="F378" s="8" t="s">
        <v>356</v>
      </c>
      <c r="G378" s="9" t="s">
        <v>327</v>
      </c>
      <c r="H378" s="21" t="n">
        <v>5</v>
      </c>
      <c r="I378" s="8" t="s">
        <v>288</v>
      </c>
      <c r="J378" s="8" t="s">
        <v>353</v>
      </c>
      <c r="K378" s="21" t="n">
        <v>33</v>
      </c>
      <c r="L378" s="21" t="n">
        <v>37</v>
      </c>
      <c r="M378" s="10" t="n">
        <v>0</v>
      </c>
      <c r="N378" s="10" t="n">
        <v>0</v>
      </c>
      <c r="O378" s="11" t="n">
        <f aca="false">ROUND((M378+N378)*0.18,0)</f>
        <v>0</v>
      </c>
      <c r="P378" s="11" t="n">
        <f aca="false">M378+N378+O378</f>
        <v>0</v>
      </c>
      <c r="Q378" s="9" t="s">
        <v>878</v>
      </c>
      <c r="R378" s="8" t="s">
        <v>303</v>
      </c>
      <c r="S378" s="8" t="s">
        <v>293</v>
      </c>
    </row>
    <row r="379" customFormat="false" ht="15" hidden="false" customHeight="false" outlineLevel="0" collapsed="false">
      <c r="B379" s="8" t="s">
        <v>192</v>
      </c>
      <c r="C379" s="8" t="s">
        <v>351</v>
      </c>
      <c r="D379" s="9" t="s">
        <v>405</v>
      </c>
      <c r="E379" s="8" t="s">
        <v>345</v>
      </c>
      <c r="F379" s="8" t="s">
        <v>408</v>
      </c>
      <c r="G379" s="9" t="s">
        <v>409</v>
      </c>
      <c r="H379" s="21" t="n">
        <v>5</v>
      </c>
      <c r="I379" s="8" t="s">
        <v>288</v>
      </c>
      <c r="J379" s="8" t="s">
        <v>329</v>
      </c>
      <c r="K379" s="21" t="n">
        <v>49</v>
      </c>
      <c r="L379" s="21" t="n">
        <v>53</v>
      </c>
      <c r="M379" s="10" t="n">
        <v>15000000</v>
      </c>
      <c r="N379" s="10" t="n">
        <v>0</v>
      </c>
      <c r="O379" s="11" t="n">
        <f aca="false">ROUND((M379+N379)*0.18,0)</f>
        <v>2700000</v>
      </c>
      <c r="P379" s="11" t="n">
        <f aca="false">M379+N379+O379</f>
        <v>17700000</v>
      </c>
      <c r="Q379" s="9" t="s">
        <v>875</v>
      </c>
      <c r="R379" s="8" t="s">
        <v>303</v>
      </c>
      <c r="S379" s="8" t="s">
        <v>293</v>
      </c>
    </row>
    <row r="380" customFormat="false" ht="22.35" hidden="false" customHeight="false" outlineLevel="0" collapsed="false">
      <c r="B380" s="8" t="s">
        <v>192</v>
      </c>
      <c r="C380" s="8" t="s">
        <v>351</v>
      </c>
      <c r="D380" s="9" t="s">
        <v>405</v>
      </c>
      <c r="E380" s="8" t="s">
        <v>345</v>
      </c>
      <c r="F380" s="8" t="s">
        <v>410</v>
      </c>
      <c r="G380" s="9" t="s">
        <v>411</v>
      </c>
      <c r="H380" s="21" t="n">
        <v>3</v>
      </c>
      <c r="I380" s="8" t="s">
        <v>288</v>
      </c>
      <c r="J380" s="8" t="s">
        <v>408</v>
      </c>
      <c r="K380" s="21" t="n">
        <v>54</v>
      </c>
      <c r="L380" s="21" t="n">
        <v>56</v>
      </c>
      <c r="M380" s="10" t="n">
        <v>0</v>
      </c>
      <c r="N380" s="10" t="n">
        <v>0</v>
      </c>
      <c r="O380" s="11" t="n">
        <f aca="false">ROUND((M380+N380)*0.18,0)</f>
        <v>0</v>
      </c>
      <c r="P380" s="11" t="n">
        <f aca="false">M380+N380+O380</f>
        <v>0</v>
      </c>
      <c r="Q380" s="9" t="s">
        <v>882</v>
      </c>
      <c r="R380" s="8" t="s">
        <v>303</v>
      </c>
      <c r="S380" s="8" t="s">
        <v>293</v>
      </c>
    </row>
    <row r="381" customFormat="false" ht="22.35" hidden="false" customHeight="false" outlineLevel="0" collapsed="false">
      <c r="B381" s="8" t="s">
        <v>192</v>
      </c>
      <c r="C381" s="8" t="s">
        <v>359</v>
      </c>
      <c r="D381" s="9" t="s">
        <v>413</v>
      </c>
      <c r="E381" s="8" t="s">
        <v>345</v>
      </c>
      <c r="F381" s="8" t="s">
        <v>362</v>
      </c>
      <c r="G381" s="9" t="s">
        <v>414</v>
      </c>
      <c r="H381" s="21" t="n">
        <v>10</v>
      </c>
      <c r="I381" s="8" t="s">
        <v>288</v>
      </c>
      <c r="J381" s="8" t="s">
        <v>376</v>
      </c>
      <c r="K381" s="21" t="n">
        <v>23</v>
      </c>
      <c r="L381" s="21" t="n">
        <v>32</v>
      </c>
      <c r="M381" s="10" t="n">
        <v>40000000</v>
      </c>
      <c r="N381" s="10" t="n">
        <v>5555555</v>
      </c>
      <c r="O381" s="11" t="n">
        <f aca="false">ROUND((M381+N381)*0.18,0)</f>
        <v>8200000</v>
      </c>
      <c r="P381" s="11" t="n">
        <f aca="false">M381+N381+O381</f>
        <v>53755555</v>
      </c>
      <c r="Q381" s="9" t="s">
        <v>883</v>
      </c>
      <c r="R381" s="8" t="s">
        <v>303</v>
      </c>
      <c r="S381" s="8" t="s">
        <v>293</v>
      </c>
    </row>
    <row r="382" customFormat="false" ht="15" hidden="false" customHeight="false" outlineLevel="0" collapsed="false">
      <c r="B382" s="8" t="s">
        <v>192</v>
      </c>
      <c r="C382" s="8" t="s">
        <v>359</v>
      </c>
      <c r="D382" s="9" t="s">
        <v>413</v>
      </c>
      <c r="E382" s="8" t="s">
        <v>345</v>
      </c>
      <c r="F382" s="8" t="s">
        <v>364</v>
      </c>
      <c r="G382" s="9" t="s">
        <v>416</v>
      </c>
      <c r="H382" s="21" t="n">
        <v>4</v>
      </c>
      <c r="I382" s="8" t="s">
        <v>288</v>
      </c>
      <c r="J382" s="8" t="s">
        <v>410</v>
      </c>
      <c r="K382" s="21" t="n">
        <v>57</v>
      </c>
      <c r="L382" s="21" t="n">
        <v>60</v>
      </c>
      <c r="M382" s="10" t="n">
        <v>5000000</v>
      </c>
      <c r="N382" s="10" t="n">
        <v>0</v>
      </c>
      <c r="O382" s="11" t="n">
        <f aca="false">ROUND((M382+N382)*0.18,0)</f>
        <v>900000</v>
      </c>
      <c r="P382" s="11" t="n">
        <f aca="false">M382+N382+O382</f>
        <v>5900000</v>
      </c>
      <c r="Q382" s="9" t="s">
        <v>875</v>
      </c>
      <c r="R382" s="8" t="s">
        <v>303</v>
      </c>
      <c r="S382" s="8" t="s">
        <v>293</v>
      </c>
    </row>
    <row r="383" customFormat="false" ht="22.35" hidden="false" customHeight="false" outlineLevel="0" collapsed="false">
      <c r="B383" s="8" t="s">
        <v>192</v>
      </c>
      <c r="C383" s="8" t="s">
        <v>417</v>
      </c>
      <c r="D383" s="9" t="s">
        <v>418</v>
      </c>
      <c r="E383" s="8" t="s">
        <v>322</v>
      </c>
      <c r="F383" s="8" t="s">
        <v>419</v>
      </c>
      <c r="G383" s="9" t="s">
        <v>420</v>
      </c>
      <c r="H383" s="21" t="n">
        <v>5</v>
      </c>
      <c r="I383" s="8" t="s">
        <v>288</v>
      </c>
      <c r="J383" s="8" t="s">
        <v>318</v>
      </c>
      <c r="K383" s="21" t="n">
        <v>44</v>
      </c>
      <c r="L383" s="21" t="n">
        <v>48</v>
      </c>
      <c r="M383" s="10" t="n">
        <v>30000000</v>
      </c>
      <c r="N383" s="10" t="n">
        <v>0</v>
      </c>
      <c r="O383" s="11" t="n">
        <f aca="false">ROUND((M383+N383)*0.18,0)</f>
        <v>5400000</v>
      </c>
      <c r="P383" s="11" t="n">
        <f aca="false">M383+N383+O383</f>
        <v>35400000</v>
      </c>
      <c r="Q383" s="9" t="s">
        <v>884</v>
      </c>
      <c r="R383" s="8" t="s">
        <v>303</v>
      </c>
      <c r="S383" s="8" t="s">
        <v>293</v>
      </c>
    </row>
    <row r="384" customFormat="false" ht="22.35" hidden="false" customHeight="false" outlineLevel="0" collapsed="false">
      <c r="B384" s="8" t="s">
        <v>192</v>
      </c>
      <c r="C384" s="8" t="s">
        <v>417</v>
      </c>
      <c r="D384" s="9" t="s">
        <v>418</v>
      </c>
      <c r="E384" s="8" t="s">
        <v>322</v>
      </c>
      <c r="F384" s="8" t="s">
        <v>422</v>
      </c>
      <c r="G384" s="9" t="s">
        <v>423</v>
      </c>
      <c r="H384" s="21" t="n">
        <v>3</v>
      </c>
      <c r="I384" s="8" t="s">
        <v>288</v>
      </c>
      <c r="J384" s="8" t="s">
        <v>419</v>
      </c>
      <c r="K384" s="21" t="n">
        <v>49</v>
      </c>
      <c r="L384" s="21" t="n">
        <v>51</v>
      </c>
      <c r="M384" s="10" t="n">
        <v>10000000</v>
      </c>
      <c r="N384" s="10" t="n">
        <v>0</v>
      </c>
      <c r="O384" s="11" t="n">
        <f aca="false">ROUND((M384+N384)*0.18,0)</f>
        <v>1800000</v>
      </c>
      <c r="P384" s="11" t="n">
        <f aca="false">M384+N384+O384</f>
        <v>11800000</v>
      </c>
      <c r="Q384" s="9" t="s">
        <v>875</v>
      </c>
      <c r="R384" s="8" t="s">
        <v>303</v>
      </c>
      <c r="S384" s="8" t="s">
        <v>293</v>
      </c>
    </row>
    <row r="385" customFormat="false" ht="15" hidden="false" customHeight="false" outlineLevel="0" collapsed="false">
      <c r="B385" s="8" t="s">
        <v>192</v>
      </c>
      <c r="C385" s="8" t="s">
        <v>424</v>
      </c>
      <c r="D385" s="9" t="s">
        <v>425</v>
      </c>
      <c r="E385" s="8" t="s">
        <v>361</v>
      </c>
      <c r="F385" s="8" t="s">
        <v>426</v>
      </c>
      <c r="G385" s="9" t="s">
        <v>427</v>
      </c>
      <c r="H385" s="21" t="n">
        <v>3</v>
      </c>
      <c r="I385" s="8" t="s">
        <v>288</v>
      </c>
      <c r="J385" s="8" t="s">
        <v>403</v>
      </c>
      <c r="K385" s="21" t="n">
        <v>59</v>
      </c>
      <c r="L385" s="21" t="n">
        <v>61</v>
      </c>
      <c r="M385" s="10" t="n">
        <v>5000000</v>
      </c>
      <c r="N385" s="10" t="n">
        <v>0</v>
      </c>
      <c r="O385" s="11" t="n">
        <f aca="false">ROUND((M385+N385)*0.18,0)</f>
        <v>900000</v>
      </c>
      <c r="P385" s="11" t="n">
        <f aca="false">M385+N385+O385</f>
        <v>5900000</v>
      </c>
      <c r="Q385" s="9" t="s">
        <v>875</v>
      </c>
      <c r="R385" s="8" t="s">
        <v>303</v>
      </c>
      <c r="S385" s="8" t="s">
        <v>293</v>
      </c>
    </row>
    <row r="386" customFormat="false" ht="22.35" hidden="false" customHeight="false" outlineLevel="0" collapsed="false">
      <c r="B386" s="8" t="s">
        <v>192</v>
      </c>
      <c r="C386" s="8" t="s">
        <v>424</v>
      </c>
      <c r="D386" s="9" t="s">
        <v>425</v>
      </c>
      <c r="E386" s="8" t="s">
        <v>361</v>
      </c>
      <c r="F386" s="8" t="s">
        <v>428</v>
      </c>
      <c r="G386" s="9" t="s">
        <v>429</v>
      </c>
      <c r="H386" s="21" t="n">
        <v>2</v>
      </c>
      <c r="I386" s="8" t="s">
        <v>288</v>
      </c>
      <c r="J386" s="8" t="s">
        <v>426</v>
      </c>
      <c r="K386" s="21" t="n">
        <v>62</v>
      </c>
      <c r="L386" s="21" t="n">
        <v>63</v>
      </c>
      <c r="M386" s="10" t="n">
        <v>4000000</v>
      </c>
      <c r="N386" s="10" t="n">
        <v>0</v>
      </c>
      <c r="O386" s="11" t="n">
        <f aca="false">ROUND((M386+N386)*0.18,0)</f>
        <v>720000</v>
      </c>
      <c r="P386" s="11" t="n">
        <f aca="false">M386+N386+O386</f>
        <v>4720000</v>
      </c>
      <c r="Q386" s="9" t="s">
        <v>885</v>
      </c>
      <c r="R386" s="8" t="s">
        <v>303</v>
      </c>
      <c r="S386" s="8" t="s">
        <v>293</v>
      </c>
    </row>
    <row r="387" customFormat="false" ht="22.35" hidden="false" customHeight="false" outlineLevel="0" collapsed="false">
      <c r="B387" s="8" t="s">
        <v>192</v>
      </c>
      <c r="C387" s="8" t="s">
        <v>424</v>
      </c>
      <c r="D387" s="9" t="s">
        <v>425</v>
      </c>
      <c r="E387" s="8" t="s">
        <v>361</v>
      </c>
      <c r="F387" s="8" t="s">
        <v>431</v>
      </c>
      <c r="G387" s="9" t="s">
        <v>432</v>
      </c>
      <c r="H387" s="21" t="n">
        <v>8</v>
      </c>
      <c r="I387" s="8" t="s">
        <v>384</v>
      </c>
      <c r="J387" s="8" t="s">
        <v>426</v>
      </c>
      <c r="K387" s="21" t="n">
        <v>59</v>
      </c>
      <c r="L387" s="21" t="n">
        <v>66</v>
      </c>
      <c r="M387" s="10" t="n">
        <v>12000000</v>
      </c>
      <c r="N387" s="10" t="n">
        <v>0</v>
      </c>
      <c r="O387" s="11" t="n">
        <f aca="false">ROUND((M387+N387)*0.18,0)</f>
        <v>2160000</v>
      </c>
      <c r="P387" s="11" t="n">
        <f aca="false">M387+N387+O387</f>
        <v>14160000</v>
      </c>
      <c r="Q387" s="9" t="s">
        <v>886</v>
      </c>
      <c r="R387" s="8" t="s">
        <v>303</v>
      </c>
      <c r="S387" s="8" t="s">
        <v>293</v>
      </c>
    </row>
    <row r="388" customFormat="false" ht="22.35" hidden="false" customHeight="false" outlineLevel="0" collapsed="false">
      <c r="B388" s="8" t="s">
        <v>192</v>
      </c>
      <c r="C388" s="8" t="s">
        <v>424</v>
      </c>
      <c r="D388" s="9" t="s">
        <v>425</v>
      </c>
      <c r="E388" s="8" t="s">
        <v>361</v>
      </c>
      <c r="F388" s="8" t="s">
        <v>434</v>
      </c>
      <c r="G388" s="9" t="s">
        <v>435</v>
      </c>
      <c r="H388" s="21" t="n">
        <v>2</v>
      </c>
      <c r="I388" s="8" t="s">
        <v>288</v>
      </c>
      <c r="J388" s="8" t="s">
        <v>428</v>
      </c>
      <c r="K388" s="21" t="n">
        <v>64</v>
      </c>
      <c r="L388" s="21" t="n">
        <v>65</v>
      </c>
      <c r="M388" s="10" t="n">
        <v>4000000</v>
      </c>
      <c r="N388" s="10" t="n">
        <v>0</v>
      </c>
      <c r="O388" s="11" t="n">
        <f aca="false">ROUND((M388+N388)*0.18,0)</f>
        <v>720000</v>
      </c>
      <c r="P388" s="11" t="n">
        <f aca="false">M388+N388+O388</f>
        <v>4720000</v>
      </c>
      <c r="Q388" s="9" t="s">
        <v>887</v>
      </c>
      <c r="R388" s="8" t="s">
        <v>303</v>
      </c>
      <c r="S388" s="8" t="s">
        <v>293</v>
      </c>
    </row>
    <row r="389" customFormat="false" ht="15" hidden="false" customHeight="false" outlineLevel="0" collapsed="false">
      <c r="B389" s="8" t="s">
        <v>205</v>
      </c>
      <c r="C389" s="8" t="s">
        <v>279</v>
      </c>
      <c r="D389" s="9" t="s">
        <v>437</v>
      </c>
      <c r="E389" s="8" t="s">
        <v>81</v>
      </c>
      <c r="F389" s="8" t="s">
        <v>286</v>
      </c>
      <c r="G389" s="9" t="s">
        <v>438</v>
      </c>
      <c r="H389" s="21" t="n">
        <v>2</v>
      </c>
      <c r="I389" s="8" t="s">
        <v>384</v>
      </c>
      <c r="J389" s="8" t="s">
        <v>281</v>
      </c>
      <c r="K389" s="21" t="n">
        <v>1</v>
      </c>
      <c r="L389" s="21" t="n">
        <v>2</v>
      </c>
      <c r="M389" s="10" t="n">
        <v>28282828</v>
      </c>
      <c r="N389" s="10" t="n">
        <v>0</v>
      </c>
      <c r="O389" s="11" t="n">
        <f aca="false">ROUND((M389+N389)*0.18,0)</f>
        <v>5090909</v>
      </c>
      <c r="P389" s="11" t="n">
        <f aca="false">M389+N389+O389</f>
        <v>33373737</v>
      </c>
      <c r="Q389" s="9" t="s">
        <v>865</v>
      </c>
      <c r="R389" s="8" t="s">
        <v>303</v>
      </c>
      <c r="S389" s="8" t="s">
        <v>293</v>
      </c>
    </row>
    <row r="390" customFormat="false" ht="15" hidden="false" customHeight="false" outlineLevel="0" collapsed="false">
      <c r="B390" s="8" t="s">
        <v>205</v>
      </c>
      <c r="C390" s="8" t="s">
        <v>279</v>
      </c>
      <c r="D390" s="9" t="s">
        <v>437</v>
      </c>
      <c r="E390" s="8" t="s">
        <v>81</v>
      </c>
      <c r="F390" s="8" t="s">
        <v>290</v>
      </c>
      <c r="G390" s="9" t="s">
        <v>439</v>
      </c>
      <c r="H390" s="21" t="n">
        <v>6</v>
      </c>
      <c r="I390" s="8" t="s">
        <v>288</v>
      </c>
      <c r="J390" s="8" t="s">
        <v>281</v>
      </c>
      <c r="K390" s="21" t="n">
        <v>1</v>
      </c>
      <c r="L390" s="21" t="n">
        <v>6</v>
      </c>
      <c r="M390" s="10" t="n">
        <v>28282828</v>
      </c>
      <c r="N390" s="10" t="n">
        <v>0</v>
      </c>
      <c r="O390" s="11" t="n">
        <f aca="false">ROUND((M390+N390)*0.18,0)</f>
        <v>5090909</v>
      </c>
      <c r="P390" s="11" t="n">
        <f aca="false">M390+N390+O390</f>
        <v>33373737</v>
      </c>
      <c r="Q390" s="9" t="s">
        <v>865</v>
      </c>
      <c r="R390" s="8" t="s">
        <v>303</v>
      </c>
      <c r="S390" s="8" t="s">
        <v>293</v>
      </c>
    </row>
    <row r="391" customFormat="false" ht="15" hidden="false" customHeight="false" outlineLevel="0" collapsed="false">
      <c r="B391" s="8" t="s">
        <v>205</v>
      </c>
      <c r="C391" s="8" t="s">
        <v>279</v>
      </c>
      <c r="D391" s="9" t="s">
        <v>437</v>
      </c>
      <c r="E391" s="8" t="s">
        <v>81</v>
      </c>
      <c r="F391" s="8" t="s">
        <v>294</v>
      </c>
      <c r="G391" s="9" t="s">
        <v>440</v>
      </c>
      <c r="H391" s="21" t="n">
        <v>6</v>
      </c>
      <c r="I391" s="8" t="s">
        <v>288</v>
      </c>
      <c r="J391" s="8" t="s">
        <v>281</v>
      </c>
      <c r="K391" s="21" t="n">
        <v>1</v>
      </c>
      <c r="L391" s="21" t="n">
        <v>6</v>
      </c>
      <c r="M391" s="10" t="n">
        <v>28282828</v>
      </c>
      <c r="N391" s="10" t="n">
        <v>0</v>
      </c>
      <c r="O391" s="11" t="n">
        <f aca="false">ROUND((M391+N391)*0.18,0)</f>
        <v>5090909</v>
      </c>
      <c r="P391" s="11" t="n">
        <f aca="false">M391+N391+O391</f>
        <v>33373737</v>
      </c>
      <c r="Q391" s="9" t="s">
        <v>865</v>
      </c>
      <c r="R391" s="8" t="s">
        <v>303</v>
      </c>
      <c r="S391" s="8" t="s">
        <v>293</v>
      </c>
    </row>
    <row r="392" customFormat="false" ht="15" hidden="false" customHeight="false" outlineLevel="0" collapsed="false">
      <c r="B392" s="8" t="s">
        <v>205</v>
      </c>
      <c r="C392" s="8" t="s">
        <v>297</v>
      </c>
      <c r="D392" s="9" t="s">
        <v>441</v>
      </c>
      <c r="E392" s="8" t="s">
        <v>299</v>
      </c>
      <c r="F392" s="8" t="s">
        <v>300</v>
      </c>
      <c r="G392" s="9" t="s">
        <v>442</v>
      </c>
      <c r="H392" s="21" t="n">
        <v>4</v>
      </c>
      <c r="I392" s="8" t="s">
        <v>288</v>
      </c>
      <c r="J392" s="8" t="s">
        <v>290</v>
      </c>
      <c r="K392" s="21" t="n">
        <v>7</v>
      </c>
      <c r="L392" s="21" t="n">
        <v>10</v>
      </c>
      <c r="M392" s="10" t="n">
        <v>70707071</v>
      </c>
      <c r="N392" s="10" t="n">
        <v>0</v>
      </c>
      <c r="O392" s="11" t="n">
        <f aca="false">ROUND((M392+N392)*0.18,0)</f>
        <v>12727273</v>
      </c>
      <c r="P392" s="11" t="n">
        <f aca="false">M392+N392+O392</f>
        <v>83434344</v>
      </c>
      <c r="Q392" s="9" t="s">
        <v>865</v>
      </c>
      <c r="R392" s="8" t="s">
        <v>303</v>
      </c>
      <c r="S392" s="8" t="s">
        <v>293</v>
      </c>
    </row>
    <row r="393" customFormat="false" ht="15" hidden="false" customHeight="false" outlineLevel="0" collapsed="false">
      <c r="B393" s="8" t="s">
        <v>205</v>
      </c>
      <c r="C393" s="8" t="s">
        <v>297</v>
      </c>
      <c r="D393" s="9" t="s">
        <v>441</v>
      </c>
      <c r="E393" s="8" t="s">
        <v>299</v>
      </c>
      <c r="F393" s="8" t="s">
        <v>304</v>
      </c>
      <c r="G393" s="9" t="s">
        <v>443</v>
      </c>
      <c r="H393" s="21" t="n">
        <v>4</v>
      </c>
      <c r="I393" s="8" t="s">
        <v>288</v>
      </c>
      <c r="J393" s="8" t="s">
        <v>300</v>
      </c>
      <c r="K393" s="21" t="n">
        <v>11</v>
      </c>
      <c r="L393" s="21" t="n">
        <v>14</v>
      </c>
      <c r="M393" s="10" t="n">
        <v>70707071</v>
      </c>
      <c r="N393" s="10" t="n">
        <v>0</v>
      </c>
      <c r="O393" s="11" t="n">
        <f aca="false">ROUND((M393+N393)*0.18,0)</f>
        <v>12727273</v>
      </c>
      <c r="P393" s="11" t="n">
        <f aca="false">M393+N393+O393</f>
        <v>83434344</v>
      </c>
      <c r="Q393" s="9" t="s">
        <v>865</v>
      </c>
      <c r="R393" s="8" t="s">
        <v>303</v>
      </c>
      <c r="S393" s="8" t="s">
        <v>293</v>
      </c>
    </row>
    <row r="394" customFormat="false" ht="15" hidden="false" customHeight="false" outlineLevel="0" collapsed="false">
      <c r="B394" s="8" t="s">
        <v>205</v>
      </c>
      <c r="C394" s="8" t="s">
        <v>297</v>
      </c>
      <c r="D394" s="9" t="s">
        <v>441</v>
      </c>
      <c r="E394" s="8" t="s">
        <v>299</v>
      </c>
      <c r="F394" s="8" t="s">
        <v>307</v>
      </c>
      <c r="G394" s="9" t="s">
        <v>444</v>
      </c>
      <c r="H394" s="21" t="n">
        <v>5</v>
      </c>
      <c r="I394" s="8" t="s">
        <v>384</v>
      </c>
      <c r="J394" s="8" t="s">
        <v>304</v>
      </c>
      <c r="K394" s="21" t="n">
        <v>11</v>
      </c>
      <c r="L394" s="21" t="n">
        <v>15</v>
      </c>
      <c r="M394" s="10" t="n">
        <v>70707071</v>
      </c>
      <c r="N394" s="10" t="n">
        <v>0</v>
      </c>
      <c r="O394" s="11" t="n">
        <f aca="false">ROUND((M394+N394)*0.18,0)</f>
        <v>12727273</v>
      </c>
      <c r="P394" s="11" t="n">
        <f aca="false">M394+N394+O394</f>
        <v>83434344</v>
      </c>
      <c r="Q394" s="9" t="s">
        <v>865</v>
      </c>
      <c r="R394" s="8" t="s">
        <v>303</v>
      </c>
      <c r="S394" s="8" t="s">
        <v>293</v>
      </c>
    </row>
    <row r="395" customFormat="false" ht="15" hidden="false" customHeight="false" outlineLevel="0" collapsed="false">
      <c r="B395" s="8" t="s">
        <v>205</v>
      </c>
      <c r="C395" s="8" t="s">
        <v>297</v>
      </c>
      <c r="D395" s="9" t="s">
        <v>441</v>
      </c>
      <c r="E395" s="8" t="s">
        <v>299</v>
      </c>
      <c r="F395" s="8" t="s">
        <v>445</v>
      </c>
      <c r="G395" s="9" t="s">
        <v>446</v>
      </c>
      <c r="H395" s="21" t="n">
        <v>4</v>
      </c>
      <c r="I395" s="8" t="s">
        <v>288</v>
      </c>
      <c r="J395" s="8" t="s">
        <v>300</v>
      </c>
      <c r="K395" s="21" t="n">
        <v>11</v>
      </c>
      <c r="L395" s="21" t="n">
        <v>14</v>
      </c>
      <c r="M395" s="10" t="n">
        <v>70707071</v>
      </c>
      <c r="N395" s="10" t="n">
        <v>0</v>
      </c>
      <c r="O395" s="11" t="n">
        <f aca="false">ROUND((M395+N395)*0.18,0)</f>
        <v>12727273</v>
      </c>
      <c r="P395" s="11" t="n">
        <f aca="false">M395+N395+O395</f>
        <v>83434344</v>
      </c>
      <c r="Q395" s="9" t="s">
        <v>865</v>
      </c>
      <c r="R395" s="8" t="s">
        <v>303</v>
      </c>
      <c r="S395" s="8" t="s">
        <v>293</v>
      </c>
    </row>
    <row r="396" customFormat="false" ht="15" hidden="false" customHeight="false" outlineLevel="0" collapsed="false">
      <c r="B396" s="8" t="s">
        <v>205</v>
      </c>
      <c r="C396" s="8" t="s">
        <v>310</v>
      </c>
      <c r="D396" s="9" t="s">
        <v>447</v>
      </c>
      <c r="E396" s="8" t="s">
        <v>299</v>
      </c>
      <c r="F396" s="8" t="s">
        <v>312</v>
      </c>
      <c r="G396" s="9" t="s">
        <v>448</v>
      </c>
      <c r="H396" s="21" t="n">
        <v>5</v>
      </c>
      <c r="I396" s="8" t="s">
        <v>288</v>
      </c>
      <c r="J396" s="8" t="s">
        <v>300</v>
      </c>
      <c r="K396" s="21" t="n">
        <v>11</v>
      </c>
      <c r="L396" s="21" t="n">
        <v>15</v>
      </c>
      <c r="M396" s="10" t="n">
        <v>268686869</v>
      </c>
      <c r="N396" s="10" t="n">
        <v>0</v>
      </c>
      <c r="O396" s="11" t="n">
        <f aca="false">ROUND((M396+N396)*0.18,0)</f>
        <v>48363636</v>
      </c>
      <c r="P396" s="11" t="n">
        <f aca="false">M396+N396+O396</f>
        <v>317050505</v>
      </c>
      <c r="Q396" s="9" t="s">
        <v>865</v>
      </c>
      <c r="R396" s="8" t="s">
        <v>303</v>
      </c>
      <c r="S396" s="8" t="s">
        <v>293</v>
      </c>
    </row>
    <row r="397" customFormat="false" ht="15" hidden="false" customHeight="false" outlineLevel="0" collapsed="false">
      <c r="B397" s="8" t="s">
        <v>205</v>
      </c>
      <c r="C397" s="8" t="s">
        <v>310</v>
      </c>
      <c r="D397" s="9" t="s">
        <v>447</v>
      </c>
      <c r="E397" s="8" t="s">
        <v>299</v>
      </c>
      <c r="F397" s="8" t="s">
        <v>315</v>
      </c>
      <c r="G397" s="9" t="s">
        <v>449</v>
      </c>
      <c r="H397" s="21" t="n">
        <v>7</v>
      </c>
      <c r="I397" s="8" t="s">
        <v>288</v>
      </c>
      <c r="J397" s="8" t="s">
        <v>312</v>
      </c>
      <c r="K397" s="21" t="n">
        <v>16</v>
      </c>
      <c r="L397" s="21" t="n">
        <v>22</v>
      </c>
      <c r="M397" s="10" t="n">
        <v>268686869</v>
      </c>
      <c r="N397" s="10" t="n">
        <v>0</v>
      </c>
      <c r="O397" s="11" t="n">
        <f aca="false">ROUND((M397+N397)*0.18,0)</f>
        <v>48363636</v>
      </c>
      <c r="P397" s="11" t="n">
        <f aca="false">M397+N397+O397</f>
        <v>317050505</v>
      </c>
      <c r="Q397" s="9" t="s">
        <v>865</v>
      </c>
      <c r="R397" s="8" t="s">
        <v>303</v>
      </c>
      <c r="S397" s="8" t="s">
        <v>293</v>
      </c>
    </row>
    <row r="398" customFormat="false" ht="15" hidden="false" customHeight="false" outlineLevel="0" collapsed="false">
      <c r="B398" s="8" t="s">
        <v>205</v>
      </c>
      <c r="C398" s="8" t="s">
        <v>310</v>
      </c>
      <c r="D398" s="9" t="s">
        <v>447</v>
      </c>
      <c r="E398" s="8" t="s">
        <v>299</v>
      </c>
      <c r="F398" s="8" t="s">
        <v>318</v>
      </c>
      <c r="G398" s="9" t="s">
        <v>450</v>
      </c>
      <c r="H398" s="21" t="n">
        <v>8</v>
      </c>
      <c r="I398" s="8" t="s">
        <v>288</v>
      </c>
      <c r="J398" s="8" t="s">
        <v>315</v>
      </c>
      <c r="K398" s="21" t="n">
        <v>23</v>
      </c>
      <c r="L398" s="21" t="n">
        <v>30</v>
      </c>
      <c r="M398" s="10" t="n">
        <v>268686869</v>
      </c>
      <c r="N398" s="10" t="n">
        <v>0</v>
      </c>
      <c r="O398" s="11" t="n">
        <f aca="false">ROUND((M398+N398)*0.18,0)</f>
        <v>48363636</v>
      </c>
      <c r="P398" s="11" t="n">
        <f aca="false">M398+N398+O398</f>
        <v>317050505</v>
      </c>
      <c r="Q398" s="9" t="s">
        <v>865</v>
      </c>
      <c r="R398" s="8" t="s">
        <v>303</v>
      </c>
      <c r="S398" s="8" t="s">
        <v>293</v>
      </c>
    </row>
    <row r="399" customFormat="false" ht="15" hidden="false" customHeight="false" outlineLevel="0" collapsed="false">
      <c r="B399" s="8" t="s">
        <v>205</v>
      </c>
      <c r="C399" s="8" t="s">
        <v>310</v>
      </c>
      <c r="D399" s="9" t="s">
        <v>447</v>
      </c>
      <c r="E399" s="8" t="s">
        <v>299</v>
      </c>
      <c r="F399" s="8" t="s">
        <v>451</v>
      </c>
      <c r="G399" s="9" t="s">
        <v>452</v>
      </c>
      <c r="H399" s="21" t="n">
        <v>12</v>
      </c>
      <c r="I399" s="8" t="s">
        <v>288</v>
      </c>
      <c r="J399" s="8" t="s">
        <v>318</v>
      </c>
      <c r="K399" s="21" t="n">
        <v>31</v>
      </c>
      <c r="L399" s="21" t="n">
        <v>42</v>
      </c>
      <c r="M399" s="10" t="n">
        <v>268686869</v>
      </c>
      <c r="N399" s="10" t="n">
        <v>0</v>
      </c>
      <c r="O399" s="11" t="n">
        <f aca="false">ROUND((M399+N399)*0.18,0)</f>
        <v>48363636</v>
      </c>
      <c r="P399" s="11" t="n">
        <f aca="false">M399+N399+O399</f>
        <v>317050505</v>
      </c>
      <c r="Q399" s="9" t="s">
        <v>865</v>
      </c>
      <c r="R399" s="8" t="s">
        <v>303</v>
      </c>
      <c r="S399" s="8" t="s">
        <v>293</v>
      </c>
    </row>
    <row r="400" customFormat="false" ht="15" hidden="false" customHeight="false" outlineLevel="0" collapsed="false">
      <c r="B400" s="8" t="s">
        <v>205</v>
      </c>
      <c r="C400" s="8" t="s">
        <v>320</v>
      </c>
      <c r="D400" s="9" t="s">
        <v>453</v>
      </c>
      <c r="E400" s="8" t="s">
        <v>454</v>
      </c>
      <c r="F400" s="8" t="s">
        <v>323</v>
      </c>
      <c r="G400" s="9" t="s">
        <v>455</v>
      </c>
      <c r="H400" s="21" t="n">
        <v>6</v>
      </c>
      <c r="I400" s="8" t="s">
        <v>288</v>
      </c>
      <c r="J400" s="8" t="s">
        <v>315</v>
      </c>
      <c r="K400" s="21" t="n">
        <v>23</v>
      </c>
      <c r="L400" s="21" t="n">
        <v>28</v>
      </c>
      <c r="M400" s="10" t="n">
        <v>67878788</v>
      </c>
      <c r="N400" s="10" t="n">
        <v>4930424</v>
      </c>
      <c r="O400" s="11" t="n">
        <f aca="false">ROUND((M400+N400)*0.18,0)</f>
        <v>13105658</v>
      </c>
      <c r="P400" s="11" t="n">
        <f aca="false">M400+N400+O400</f>
        <v>85914870</v>
      </c>
      <c r="Q400" s="9" t="s">
        <v>865</v>
      </c>
      <c r="R400" s="8" t="s">
        <v>303</v>
      </c>
      <c r="S400" s="8" t="s">
        <v>293</v>
      </c>
    </row>
    <row r="401" customFormat="false" ht="15" hidden="false" customHeight="false" outlineLevel="0" collapsed="false">
      <c r="B401" s="8" t="s">
        <v>205</v>
      </c>
      <c r="C401" s="8" t="s">
        <v>320</v>
      </c>
      <c r="D401" s="9" t="s">
        <v>453</v>
      </c>
      <c r="E401" s="8" t="s">
        <v>454</v>
      </c>
      <c r="F401" s="8" t="s">
        <v>326</v>
      </c>
      <c r="G401" s="9" t="s">
        <v>456</v>
      </c>
      <c r="H401" s="21" t="n">
        <v>2</v>
      </c>
      <c r="I401" s="8" t="s">
        <v>288</v>
      </c>
      <c r="J401" s="8" t="s">
        <v>323</v>
      </c>
      <c r="K401" s="21" t="n">
        <v>29</v>
      </c>
      <c r="L401" s="21" t="n">
        <v>30</v>
      </c>
      <c r="M401" s="10" t="n">
        <v>67878788</v>
      </c>
      <c r="N401" s="10" t="n">
        <v>4930424</v>
      </c>
      <c r="O401" s="11" t="n">
        <f aca="false">ROUND((M401+N401)*0.18,0)</f>
        <v>13105658</v>
      </c>
      <c r="P401" s="11" t="n">
        <f aca="false">M401+N401+O401</f>
        <v>85914870</v>
      </c>
      <c r="Q401" s="9" t="s">
        <v>865</v>
      </c>
      <c r="R401" s="8" t="s">
        <v>303</v>
      </c>
      <c r="S401" s="8" t="s">
        <v>293</v>
      </c>
    </row>
    <row r="402" customFormat="false" ht="15" hidden="false" customHeight="false" outlineLevel="0" collapsed="false">
      <c r="B402" s="8" t="s">
        <v>205</v>
      </c>
      <c r="C402" s="8" t="s">
        <v>320</v>
      </c>
      <c r="D402" s="9" t="s">
        <v>453</v>
      </c>
      <c r="E402" s="8" t="s">
        <v>454</v>
      </c>
      <c r="F402" s="8" t="s">
        <v>329</v>
      </c>
      <c r="G402" s="9" t="s">
        <v>400</v>
      </c>
      <c r="H402" s="21" t="n">
        <v>3</v>
      </c>
      <c r="I402" s="8" t="s">
        <v>384</v>
      </c>
      <c r="J402" s="8" t="s">
        <v>326</v>
      </c>
      <c r="K402" s="21" t="n">
        <v>29</v>
      </c>
      <c r="L402" s="21" t="n">
        <v>31</v>
      </c>
      <c r="M402" s="10" t="n">
        <v>67878788</v>
      </c>
      <c r="N402" s="10" t="n">
        <v>4930424</v>
      </c>
      <c r="O402" s="11" t="n">
        <f aca="false">ROUND((M402+N402)*0.18,0)</f>
        <v>13105658</v>
      </c>
      <c r="P402" s="11" t="n">
        <f aca="false">M402+N402+O402</f>
        <v>85914870</v>
      </c>
      <c r="Q402" s="9" t="s">
        <v>865</v>
      </c>
      <c r="R402" s="8" t="s">
        <v>303</v>
      </c>
      <c r="S402" s="8" t="s">
        <v>293</v>
      </c>
    </row>
    <row r="403" customFormat="false" ht="15" hidden="false" customHeight="false" outlineLevel="0" collapsed="false">
      <c r="B403" s="8" t="s">
        <v>205</v>
      </c>
      <c r="C403" s="8" t="s">
        <v>320</v>
      </c>
      <c r="D403" s="9" t="s">
        <v>453</v>
      </c>
      <c r="E403" s="8" t="s">
        <v>454</v>
      </c>
      <c r="F403" s="8" t="s">
        <v>332</v>
      </c>
      <c r="G403" s="9" t="s">
        <v>457</v>
      </c>
      <c r="H403" s="21" t="n">
        <v>3</v>
      </c>
      <c r="I403" s="8" t="s">
        <v>288</v>
      </c>
      <c r="J403" s="8" t="s">
        <v>326</v>
      </c>
      <c r="K403" s="21" t="n">
        <v>31</v>
      </c>
      <c r="L403" s="21" t="n">
        <v>33</v>
      </c>
      <c r="M403" s="10" t="n">
        <v>67878788</v>
      </c>
      <c r="N403" s="10" t="n">
        <v>4930424</v>
      </c>
      <c r="O403" s="11" t="n">
        <f aca="false">ROUND((M403+N403)*0.18,0)</f>
        <v>13105658</v>
      </c>
      <c r="P403" s="11" t="n">
        <f aca="false">M403+N403+O403</f>
        <v>85914870</v>
      </c>
      <c r="Q403" s="9" t="s">
        <v>865</v>
      </c>
      <c r="R403" s="8" t="s">
        <v>303</v>
      </c>
      <c r="S403" s="8" t="s">
        <v>293</v>
      </c>
    </row>
    <row r="404" customFormat="false" ht="15" hidden="false" customHeight="false" outlineLevel="0" collapsed="false">
      <c r="B404" s="8" t="s">
        <v>205</v>
      </c>
      <c r="C404" s="8" t="s">
        <v>320</v>
      </c>
      <c r="D404" s="9" t="s">
        <v>453</v>
      </c>
      <c r="E404" s="8" t="s">
        <v>454</v>
      </c>
      <c r="F404" s="8" t="s">
        <v>458</v>
      </c>
      <c r="G404" s="9" t="s">
        <v>459</v>
      </c>
      <c r="H404" s="21" t="n">
        <v>2</v>
      </c>
      <c r="I404" s="8" t="s">
        <v>288</v>
      </c>
      <c r="J404" s="8" t="s">
        <v>332</v>
      </c>
      <c r="K404" s="21" t="n">
        <v>34</v>
      </c>
      <c r="L404" s="21" t="n">
        <v>35</v>
      </c>
      <c r="M404" s="10" t="n">
        <v>67878788</v>
      </c>
      <c r="N404" s="10" t="n">
        <v>4930424</v>
      </c>
      <c r="O404" s="11" t="n">
        <f aca="false">ROUND((M404+N404)*0.18,0)</f>
        <v>13105658</v>
      </c>
      <c r="P404" s="11" t="n">
        <f aca="false">M404+N404+O404</f>
        <v>85914870</v>
      </c>
      <c r="Q404" s="9" t="s">
        <v>865</v>
      </c>
      <c r="R404" s="8" t="s">
        <v>303</v>
      </c>
      <c r="S404" s="8" t="s">
        <v>293</v>
      </c>
    </row>
    <row r="405" customFormat="false" ht="15" hidden="false" customHeight="false" outlineLevel="0" collapsed="false">
      <c r="B405" s="8" t="s">
        <v>205</v>
      </c>
      <c r="C405" s="8" t="s">
        <v>335</v>
      </c>
      <c r="D405" s="9" t="s">
        <v>460</v>
      </c>
      <c r="E405" s="8" t="s">
        <v>454</v>
      </c>
      <c r="F405" s="8" t="s">
        <v>337</v>
      </c>
      <c r="G405" s="9" t="s">
        <v>455</v>
      </c>
      <c r="H405" s="21" t="n">
        <v>8</v>
      </c>
      <c r="I405" s="8" t="s">
        <v>288</v>
      </c>
      <c r="J405" s="8" t="s">
        <v>451</v>
      </c>
      <c r="K405" s="21" t="n">
        <v>43</v>
      </c>
      <c r="L405" s="21" t="n">
        <v>50</v>
      </c>
      <c r="M405" s="10" t="n">
        <v>122558922</v>
      </c>
      <c r="N405" s="10" t="n">
        <v>9586935</v>
      </c>
      <c r="O405" s="11" t="n">
        <f aca="false">ROUND((M405+N405)*0.18,0)</f>
        <v>23786254</v>
      </c>
      <c r="P405" s="11" t="n">
        <f aca="false">M405+N405+O405</f>
        <v>155932111</v>
      </c>
      <c r="Q405" s="9" t="s">
        <v>865</v>
      </c>
      <c r="R405" s="8" t="s">
        <v>303</v>
      </c>
      <c r="S405" s="8" t="s">
        <v>293</v>
      </c>
    </row>
    <row r="406" customFormat="false" ht="15" hidden="false" customHeight="false" outlineLevel="0" collapsed="false">
      <c r="B406" s="8" t="s">
        <v>205</v>
      </c>
      <c r="C406" s="8" t="s">
        <v>335</v>
      </c>
      <c r="D406" s="9" t="s">
        <v>460</v>
      </c>
      <c r="E406" s="8" t="s">
        <v>454</v>
      </c>
      <c r="F406" s="8" t="s">
        <v>340</v>
      </c>
      <c r="G406" s="9" t="s">
        <v>400</v>
      </c>
      <c r="H406" s="21" t="n">
        <v>5</v>
      </c>
      <c r="I406" s="8" t="s">
        <v>288</v>
      </c>
      <c r="J406" s="8" t="s">
        <v>337</v>
      </c>
      <c r="K406" s="21" t="n">
        <v>51</v>
      </c>
      <c r="L406" s="21" t="n">
        <v>55</v>
      </c>
      <c r="M406" s="10" t="n">
        <v>122558922</v>
      </c>
      <c r="N406" s="10" t="n">
        <v>9586935</v>
      </c>
      <c r="O406" s="11" t="n">
        <f aca="false">ROUND((M406+N406)*0.18,0)</f>
        <v>23786254</v>
      </c>
      <c r="P406" s="11" t="n">
        <f aca="false">M406+N406+O406</f>
        <v>155932111</v>
      </c>
      <c r="Q406" s="9" t="s">
        <v>865</v>
      </c>
      <c r="R406" s="8" t="s">
        <v>303</v>
      </c>
      <c r="S406" s="8" t="s">
        <v>293</v>
      </c>
    </row>
    <row r="407" customFormat="false" ht="15" hidden="false" customHeight="false" outlineLevel="0" collapsed="false">
      <c r="B407" s="8" t="s">
        <v>205</v>
      </c>
      <c r="C407" s="8" t="s">
        <v>335</v>
      </c>
      <c r="D407" s="9" t="s">
        <v>460</v>
      </c>
      <c r="E407" s="8" t="s">
        <v>454</v>
      </c>
      <c r="F407" s="8" t="s">
        <v>341</v>
      </c>
      <c r="G407" s="9" t="s">
        <v>457</v>
      </c>
      <c r="H407" s="21" t="n">
        <v>4</v>
      </c>
      <c r="I407" s="8" t="s">
        <v>384</v>
      </c>
      <c r="J407" s="8" t="s">
        <v>340</v>
      </c>
      <c r="K407" s="21" t="n">
        <v>51</v>
      </c>
      <c r="L407" s="21" t="n">
        <v>54</v>
      </c>
      <c r="M407" s="10" t="n">
        <v>122558922</v>
      </c>
      <c r="N407" s="10" t="n">
        <v>9586935</v>
      </c>
      <c r="O407" s="11" t="n">
        <f aca="false">ROUND((M407+N407)*0.18,0)</f>
        <v>23786254</v>
      </c>
      <c r="P407" s="11" t="n">
        <f aca="false">M407+N407+O407</f>
        <v>155932111</v>
      </c>
      <c r="Q407" s="9" t="s">
        <v>865</v>
      </c>
      <c r="R407" s="8" t="s">
        <v>303</v>
      </c>
      <c r="S407" s="8" t="s">
        <v>293</v>
      </c>
    </row>
    <row r="408" customFormat="false" ht="15" hidden="false" customHeight="false" outlineLevel="0" collapsed="false">
      <c r="B408" s="8" t="s">
        <v>205</v>
      </c>
      <c r="C408" s="8" t="s">
        <v>335</v>
      </c>
      <c r="D408" s="9" t="s">
        <v>460</v>
      </c>
      <c r="E408" s="8" t="s">
        <v>454</v>
      </c>
      <c r="F408" s="8" t="s">
        <v>461</v>
      </c>
      <c r="G408" s="9" t="s">
        <v>462</v>
      </c>
      <c r="H408" s="21" t="n">
        <v>5</v>
      </c>
      <c r="I408" s="8" t="s">
        <v>288</v>
      </c>
      <c r="J408" s="8" t="s">
        <v>340</v>
      </c>
      <c r="K408" s="21" t="n">
        <v>56</v>
      </c>
      <c r="L408" s="21" t="n">
        <v>60</v>
      </c>
      <c r="M408" s="10" t="n">
        <v>122558922</v>
      </c>
      <c r="N408" s="10" t="n">
        <v>9586935</v>
      </c>
      <c r="O408" s="11" t="n">
        <f aca="false">ROUND((M408+N408)*0.18,0)</f>
        <v>23786254</v>
      </c>
      <c r="P408" s="11" t="n">
        <f aca="false">M408+N408+O408</f>
        <v>155932111</v>
      </c>
      <c r="Q408" s="9" t="s">
        <v>865</v>
      </c>
      <c r="R408" s="8" t="s">
        <v>303</v>
      </c>
      <c r="S408" s="8" t="s">
        <v>293</v>
      </c>
    </row>
    <row r="409" customFormat="false" ht="15" hidden="false" customHeight="false" outlineLevel="0" collapsed="false">
      <c r="B409" s="8" t="s">
        <v>205</v>
      </c>
      <c r="C409" s="8" t="s">
        <v>335</v>
      </c>
      <c r="D409" s="9" t="s">
        <v>460</v>
      </c>
      <c r="E409" s="8" t="s">
        <v>454</v>
      </c>
      <c r="F409" s="8" t="s">
        <v>463</v>
      </c>
      <c r="G409" s="9" t="s">
        <v>464</v>
      </c>
      <c r="H409" s="21" t="n">
        <v>4</v>
      </c>
      <c r="I409" s="8" t="s">
        <v>288</v>
      </c>
      <c r="J409" s="8" t="s">
        <v>461</v>
      </c>
      <c r="K409" s="21" t="n">
        <v>61</v>
      </c>
      <c r="L409" s="21" t="n">
        <v>64</v>
      </c>
      <c r="M409" s="10" t="n">
        <v>122558922</v>
      </c>
      <c r="N409" s="10" t="n">
        <v>9586935</v>
      </c>
      <c r="O409" s="11" t="n">
        <f aca="false">ROUND((M409+N409)*0.18,0)</f>
        <v>23786254</v>
      </c>
      <c r="P409" s="11" t="n">
        <f aca="false">M409+N409+O409</f>
        <v>155932111</v>
      </c>
      <c r="Q409" s="9" t="s">
        <v>865</v>
      </c>
      <c r="R409" s="8" t="s">
        <v>303</v>
      </c>
      <c r="S409" s="8" t="s">
        <v>293</v>
      </c>
    </row>
    <row r="410" customFormat="false" ht="15" hidden="false" customHeight="false" outlineLevel="0" collapsed="false">
      <c r="B410" s="8" t="s">
        <v>205</v>
      </c>
      <c r="C410" s="8" t="s">
        <v>335</v>
      </c>
      <c r="D410" s="9" t="s">
        <v>460</v>
      </c>
      <c r="E410" s="8" t="s">
        <v>454</v>
      </c>
      <c r="F410" s="8" t="s">
        <v>465</v>
      </c>
      <c r="G410" s="9" t="s">
        <v>466</v>
      </c>
      <c r="H410" s="21" t="n">
        <v>3</v>
      </c>
      <c r="I410" s="8" t="s">
        <v>288</v>
      </c>
      <c r="J410" s="8" t="s">
        <v>463</v>
      </c>
      <c r="K410" s="21" t="n">
        <v>65</v>
      </c>
      <c r="L410" s="21" t="n">
        <v>67</v>
      </c>
      <c r="M410" s="10" t="n">
        <v>122558924</v>
      </c>
      <c r="N410" s="10" t="n">
        <v>9586940</v>
      </c>
      <c r="O410" s="11" t="n">
        <f aca="false">ROUND((M410+N410)*0.18,0)</f>
        <v>23786256</v>
      </c>
      <c r="P410" s="11" t="n">
        <f aca="false">M410+N410+O410</f>
        <v>155932120</v>
      </c>
      <c r="Q410" s="9" t="s">
        <v>865</v>
      </c>
      <c r="R410" s="8" t="s">
        <v>303</v>
      </c>
      <c r="S410" s="8" t="s">
        <v>293</v>
      </c>
    </row>
    <row r="411" customFormat="false" ht="15" hidden="false" customHeight="false" outlineLevel="0" collapsed="false">
      <c r="B411" s="8" t="s">
        <v>205</v>
      </c>
      <c r="C411" s="8" t="s">
        <v>343</v>
      </c>
      <c r="D411" s="9" t="s">
        <v>467</v>
      </c>
      <c r="E411" s="8" t="s">
        <v>361</v>
      </c>
      <c r="F411" s="8" t="s">
        <v>346</v>
      </c>
      <c r="G411" s="9" t="s">
        <v>468</v>
      </c>
      <c r="H411" s="21" t="n">
        <v>4</v>
      </c>
      <c r="I411" s="8" t="s">
        <v>288</v>
      </c>
      <c r="J411" s="8" t="s">
        <v>445</v>
      </c>
      <c r="K411" s="21" t="n">
        <v>15</v>
      </c>
      <c r="L411" s="21" t="n">
        <v>18</v>
      </c>
      <c r="M411" s="10" t="n">
        <v>42424242</v>
      </c>
      <c r="N411" s="10" t="n">
        <v>0</v>
      </c>
      <c r="O411" s="11" t="n">
        <f aca="false">ROUND((M411+N411)*0.18,0)</f>
        <v>7636364</v>
      </c>
      <c r="P411" s="11" t="n">
        <f aca="false">M411+N411+O411</f>
        <v>50060606</v>
      </c>
      <c r="Q411" s="9" t="s">
        <v>865</v>
      </c>
      <c r="R411" s="8" t="s">
        <v>303</v>
      </c>
      <c r="S411" s="8" t="s">
        <v>293</v>
      </c>
    </row>
    <row r="412" customFormat="false" ht="15" hidden="false" customHeight="false" outlineLevel="0" collapsed="false">
      <c r="B412" s="8" t="s">
        <v>205</v>
      </c>
      <c r="C412" s="8" t="s">
        <v>343</v>
      </c>
      <c r="D412" s="9" t="s">
        <v>467</v>
      </c>
      <c r="E412" s="8" t="s">
        <v>361</v>
      </c>
      <c r="F412" s="8" t="s">
        <v>348</v>
      </c>
      <c r="G412" s="9" t="s">
        <v>469</v>
      </c>
      <c r="H412" s="21" t="n">
        <v>4</v>
      </c>
      <c r="I412" s="8" t="s">
        <v>288</v>
      </c>
      <c r="J412" s="8" t="s">
        <v>445</v>
      </c>
      <c r="K412" s="21" t="n">
        <v>15</v>
      </c>
      <c r="L412" s="21" t="n">
        <v>18</v>
      </c>
      <c r="M412" s="10" t="n">
        <v>42424242</v>
      </c>
      <c r="N412" s="10" t="n">
        <v>0</v>
      </c>
      <c r="O412" s="11" t="n">
        <f aca="false">ROUND((M412+N412)*0.18,0)</f>
        <v>7636364</v>
      </c>
      <c r="P412" s="11" t="n">
        <f aca="false">M412+N412+O412</f>
        <v>50060606</v>
      </c>
      <c r="Q412" s="9" t="s">
        <v>865</v>
      </c>
      <c r="R412" s="8" t="s">
        <v>303</v>
      </c>
      <c r="S412" s="8" t="s">
        <v>293</v>
      </c>
    </row>
    <row r="413" customFormat="false" ht="15" hidden="false" customHeight="false" outlineLevel="0" collapsed="false">
      <c r="B413" s="8" t="s">
        <v>205</v>
      </c>
      <c r="C413" s="8" t="s">
        <v>343</v>
      </c>
      <c r="D413" s="9" t="s">
        <v>467</v>
      </c>
      <c r="E413" s="8" t="s">
        <v>361</v>
      </c>
      <c r="F413" s="8" t="s">
        <v>403</v>
      </c>
      <c r="G413" s="9" t="s">
        <v>470</v>
      </c>
      <c r="H413" s="21" t="n">
        <v>3</v>
      </c>
      <c r="I413" s="8" t="s">
        <v>384</v>
      </c>
      <c r="J413" s="8" t="s">
        <v>348</v>
      </c>
      <c r="K413" s="21" t="n">
        <v>15</v>
      </c>
      <c r="L413" s="21" t="n">
        <v>17</v>
      </c>
      <c r="M413" s="10" t="n">
        <v>42424242</v>
      </c>
      <c r="N413" s="10" t="n">
        <v>0</v>
      </c>
      <c r="O413" s="11" t="n">
        <f aca="false">ROUND((M413+N413)*0.18,0)</f>
        <v>7636364</v>
      </c>
      <c r="P413" s="11" t="n">
        <f aca="false">M413+N413+O413</f>
        <v>50060606</v>
      </c>
      <c r="Q413" s="9" t="s">
        <v>865</v>
      </c>
      <c r="R413" s="8" t="s">
        <v>303</v>
      </c>
      <c r="S413" s="8" t="s">
        <v>293</v>
      </c>
    </row>
    <row r="414" customFormat="false" ht="15" hidden="false" customHeight="false" outlineLevel="0" collapsed="false">
      <c r="B414" s="8" t="s">
        <v>205</v>
      </c>
      <c r="C414" s="8" t="s">
        <v>343</v>
      </c>
      <c r="D414" s="9" t="s">
        <v>467</v>
      </c>
      <c r="E414" s="8" t="s">
        <v>361</v>
      </c>
      <c r="F414" s="8" t="s">
        <v>471</v>
      </c>
      <c r="G414" s="9" t="s">
        <v>472</v>
      </c>
      <c r="H414" s="21" t="n">
        <v>2</v>
      </c>
      <c r="I414" s="8" t="s">
        <v>288</v>
      </c>
      <c r="J414" s="8" t="s">
        <v>346</v>
      </c>
      <c r="K414" s="21" t="n">
        <v>19</v>
      </c>
      <c r="L414" s="21" t="n">
        <v>20</v>
      </c>
      <c r="M414" s="10" t="n">
        <v>42424242</v>
      </c>
      <c r="N414" s="10" t="n">
        <v>0</v>
      </c>
      <c r="O414" s="11" t="n">
        <f aca="false">ROUND((M414+N414)*0.18,0)</f>
        <v>7636364</v>
      </c>
      <c r="P414" s="11" t="n">
        <f aca="false">M414+N414+O414</f>
        <v>50060606</v>
      </c>
      <c r="Q414" s="9" t="s">
        <v>865</v>
      </c>
      <c r="R414" s="8" t="s">
        <v>303</v>
      </c>
      <c r="S414" s="8" t="s">
        <v>293</v>
      </c>
    </row>
    <row r="415" customFormat="false" ht="15" hidden="false" customHeight="false" outlineLevel="0" collapsed="false">
      <c r="B415" s="8" t="s">
        <v>205</v>
      </c>
      <c r="C415" s="8" t="s">
        <v>351</v>
      </c>
      <c r="D415" s="9" t="s">
        <v>473</v>
      </c>
      <c r="E415" s="8" t="s">
        <v>361</v>
      </c>
      <c r="F415" s="8" t="s">
        <v>353</v>
      </c>
      <c r="G415" s="9" t="s">
        <v>474</v>
      </c>
      <c r="H415" s="21" t="n">
        <v>3</v>
      </c>
      <c r="I415" s="8" t="s">
        <v>288</v>
      </c>
      <c r="J415" s="8" t="s">
        <v>465</v>
      </c>
      <c r="K415" s="21" t="n">
        <v>68</v>
      </c>
      <c r="L415" s="21" t="n">
        <v>70</v>
      </c>
      <c r="M415" s="10" t="n">
        <v>28282828</v>
      </c>
      <c r="N415" s="10" t="n">
        <v>0</v>
      </c>
      <c r="O415" s="11" t="n">
        <f aca="false">ROUND((M415+N415)*0.18,0)</f>
        <v>5090909</v>
      </c>
      <c r="P415" s="11" t="n">
        <f aca="false">M415+N415+O415</f>
        <v>33373737</v>
      </c>
      <c r="Q415" s="9" t="s">
        <v>865</v>
      </c>
      <c r="R415" s="8" t="s">
        <v>303</v>
      </c>
      <c r="S415" s="8" t="s">
        <v>293</v>
      </c>
    </row>
    <row r="416" customFormat="false" ht="15" hidden="false" customHeight="false" outlineLevel="0" collapsed="false">
      <c r="B416" s="8" t="s">
        <v>205</v>
      </c>
      <c r="C416" s="8" t="s">
        <v>351</v>
      </c>
      <c r="D416" s="9" t="s">
        <v>473</v>
      </c>
      <c r="E416" s="8" t="s">
        <v>361</v>
      </c>
      <c r="F416" s="8" t="s">
        <v>356</v>
      </c>
      <c r="G416" s="9" t="s">
        <v>475</v>
      </c>
      <c r="H416" s="21" t="n">
        <v>2</v>
      </c>
      <c r="I416" s="8" t="s">
        <v>288</v>
      </c>
      <c r="J416" s="8" t="s">
        <v>353</v>
      </c>
      <c r="K416" s="21" t="n">
        <v>71</v>
      </c>
      <c r="L416" s="21" t="n">
        <v>72</v>
      </c>
      <c r="M416" s="10" t="n">
        <v>28282828</v>
      </c>
      <c r="N416" s="10" t="n">
        <v>0</v>
      </c>
      <c r="O416" s="11" t="n">
        <f aca="false">ROUND((M416+N416)*0.18,0)</f>
        <v>5090909</v>
      </c>
      <c r="P416" s="11" t="n">
        <f aca="false">M416+N416+O416</f>
        <v>33373737</v>
      </c>
      <c r="Q416" s="9" t="s">
        <v>865</v>
      </c>
      <c r="R416" s="8" t="s">
        <v>303</v>
      </c>
      <c r="S416" s="8" t="s">
        <v>293</v>
      </c>
    </row>
    <row r="417" customFormat="false" ht="15" hidden="false" customHeight="false" outlineLevel="0" collapsed="false">
      <c r="B417" s="8" t="s">
        <v>205</v>
      </c>
      <c r="C417" s="8" t="s">
        <v>351</v>
      </c>
      <c r="D417" s="9" t="s">
        <v>473</v>
      </c>
      <c r="E417" s="8" t="s">
        <v>361</v>
      </c>
      <c r="F417" s="8" t="s">
        <v>408</v>
      </c>
      <c r="G417" s="9" t="s">
        <v>476</v>
      </c>
      <c r="H417" s="21" t="n">
        <v>3</v>
      </c>
      <c r="I417" s="8" t="s">
        <v>288</v>
      </c>
      <c r="J417" s="8" t="s">
        <v>356</v>
      </c>
      <c r="K417" s="21" t="n">
        <v>73</v>
      </c>
      <c r="L417" s="21" t="n">
        <v>75</v>
      </c>
      <c r="M417" s="10" t="n">
        <v>28282828</v>
      </c>
      <c r="N417" s="10" t="n">
        <v>0</v>
      </c>
      <c r="O417" s="11" t="n">
        <f aca="false">ROUND((M417+N417)*0.18,0)</f>
        <v>5090909</v>
      </c>
      <c r="P417" s="11" t="n">
        <f aca="false">M417+N417+O417</f>
        <v>33373737</v>
      </c>
      <c r="Q417" s="9" t="s">
        <v>865</v>
      </c>
      <c r="R417" s="8" t="s">
        <v>303</v>
      </c>
      <c r="S417" s="8" t="s">
        <v>293</v>
      </c>
    </row>
    <row r="418" customFormat="false" ht="15" hidden="false" customHeight="false" outlineLevel="0" collapsed="false">
      <c r="B418" s="8" t="s">
        <v>205</v>
      </c>
      <c r="C418" s="8" t="s">
        <v>351</v>
      </c>
      <c r="D418" s="9" t="s">
        <v>473</v>
      </c>
      <c r="E418" s="8" t="s">
        <v>361</v>
      </c>
      <c r="F418" s="8" t="s">
        <v>410</v>
      </c>
      <c r="G418" s="9" t="s">
        <v>477</v>
      </c>
      <c r="H418" s="21" t="n">
        <v>2</v>
      </c>
      <c r="I418" s="8" t="s">
        <v>288</v>
      </c>
      <c r="J418" s="8" t="s">
        <v>408</v>
      </c>
      <c r="K418" s="21" t="n">
        <v>76</v>
      </c>
      <c r="L418" s="21" t="n">
        <v>77</v>
      </c>
      <c r="M418" s="10" t="n">
        <v>28282830</v>
      </c>
      <c r="N418" s="10" t="n">
        <v>0</v>
      </c>
      <c r="O418" s="11" t="n">
        <f aca="false">ROUND((M418+N418)*0.18,0)</f>
        <v>5090909</v>
      </c>
      <c r="P418" s="11" t="n">
        <f aca="false">M418+N418+O418</f>
        <v>33373739</v>
      </c>
      <c r="Q418" s="9" t="s">
        <v>865</v>
      </c>
      <c r="R418" s="8" t="s">
        <v>303</v>
      </c>
      <c r="S418" s="8" t="s">
        <v>293</v>
      </c>
    </row>
    <row r="419" customFormat="false" ht="22.35" hidden="false" customHeight="false" outlineLevel="0" collapsed="false">
      <c r="B419" s="8" t="s">
        <v>209</v>
      </c>
      <c r="C419" s="8" t="s">
        <v>279</v>
      </c>
      <c r="D419" s="9" t="s">
        <v>367</v>
      </c>
      <c r="E419" s="8" t="s">
        <v>81</v>
      </c>
      <c r="F419" s="8" t="s">
        <v>281</v>
      </c>
      <c r="G419" s="9" t="s">
        <v>368</v>
      </c>
      <c r="H419" s="21" t="n">
        <v>6</v>
      </c>
      <c r="I419" s="8"/>
      <c r="J419" s="8"/>
      <c r="K419" s="21" t="n">
        <v>1</v>
      </c>
      <c r="L419" s="21" t="n">
        <v>6</v>
      </c>
      <c r="M419" s="10" t="n">
        <v>8000000</v>
      </c>
      <c r="N419" s="10" t="n">
        <v>0</v>
      </c>
      <c r="O419" s="11" t="n">
        <f aca="false">ROUND((M419+N419)*0.18,0)</f>
        <v>1440000</v>
      </c>
      <c r="P419" s="11" t="n">
        <f aca="false">M419+N419+O419</f>
        <v>9440000</v>
      </c>
      <c r="Q419" s="9" t="s">
        <v>866</v>
      </c>
      <c r="R419" s="8" t="s">
        <v>303</v>
      </c>
      <c r="S419" s="8" t="s">
        <v>293</v>
      </c>
    </row>
    <row r="420" customFormat="false" ht="15" hidden="false" customHeight="false" outlineLevel="0" collapsed="false">
      <c r="B420" s="8" t="s">
        <v>209</v>
      </c>
      <c r="C420" s="8" t="s">
        <v>279</v>
      </c>
      <c r="D420" s="9" t="s">
        <v>367</v>
      </c>
      <c r="E420" s="8" t="s">
        <v>81</v>
      </c>
      <c r="F420" s="8" t="s">
        <v>286</v>
      </c>
      <c r="G420" s="9" t="s">
        <v>370</v>
      </c>
      <c r="H420" s="21" t="n">
        <v>4</v>
      </c>
      <c r="I420" s="8" t="s">
        <v>288</v>
      </c>
      <c r="J420" s="8" t="s">
        <v>281</v>
      </c>
      <c r="K420" s="21" t="n">
        <v>7</v>
      </c>
      <c r="L420" s="21" t="n">
        <v>10</v>
      </c>
      <c r="M420" s="10" t="n">
        <v>5000000</v>
      </c>
      <c r="N420" s="10" t="n">
        <v>0</v>
      </c>
      <c r="O420" s="11" t="n">
        <f aca="false">ROUND((M420+N420)*0.18,0)</f>
        <v>900000</v>
      </c>
      <c r="P420" s="11" t="n">
        <f aca="false">M420+N420+O420</f>
        <v>5900000</v>
      </c>
      <c r="Q420" s="9" t="s">
        <v>867</v>
      </c>
      <c r="R420" s="8" t="s">
        <v>303</v>
      </c>
      <c r="S420" s="8" t="s">
        <v>293</v>
      </c>
    </row>
    <row r="421" customFormat="false" ht="22.35" hidden="false" customHeight="false" outlineLevel="0" collapsed="false">
      <c r="B421" s="8" t="s">
        <v>209</v>
      </c>
      <c r="C421" s="8" t="s">
        <v>279</v>
      </c>
      <c r="D421" s="9" t="s">
        <v>367</v>
      </c>
      <c r="E421" s="8" t="s">
        <v>81</v>
      </c>
      <c r="F421" s="8" t="s">
        <v>290</v>
      </c>
      <c r="G421" s="9" t="s">
        <v>372</v>
      </c>
      <c r="H421" s="21" t="n">
        <v>6</v>
      </c>
      <c r="I421" s="8" t="s">
        <v>288</v>
      </c>
      <c r="J421" s="8" t="s">
        <v>286</v>
      </c>
      <c r="K421" s="21" t="n">
        <v>11</v>
      </c>
      <c r="L421" s="21" t="n">
        <v>16</v>
      </c>
      <c r="M421" s="10" t="n">
        <v>12000000</v>
      </c>
      <c r="N421" s="10" t="n">
        <v>0</v>
      </c>
      <c r="O421" s="11" t="n">
        <f aca="false">ROUND((M421+N421)*0.18,0)</f>
        <v>2160000</v>
      </c>
      <c r="P421" s="11" t="n">
        <f aca="false">M421+N421+O421</f>
        <v>14160000</v>
      </c>
      <c r="Q421" s="9" t="s">
        <v>868</v>
      </c>
      <c r="R421" s="8" t="s">
        <v>303</v>
      </c>
      <c r="S421" s="8" t="s">
        <v>293</v>
      </c>
    </row>
    <row r="422" customFormat="false" ht="22.35" hidden="false" customHeight="false" outlineLevel="0" collapsed="false">
      <c r="B422" s="8" t="s">
        <v>209</v>
      </c>
      <c r="C422" s="8" t="s">
        <v>279</v>
      </c>
      <c r="D422" s="9" t="s">
        <v>367</v>
      </c>
      <c r="E422" s="8" t="s">
        <v>81</v>
      </c>
      <c r="F422" s="8" t="s">
        <v>294</v>
      </c>
      <c r="G422" s="9" t="s">
        <v>374</v>
      </c>
      <c r="H422" s="21" t="n">
        <v>8</v>
      </c>
      <c r="I422" s="8" t="s">
        <v>288</v>
      </c>
      <c r="J422" s="8" t="s">
        <v>286</v>
      </c>
      <c r="K422" s="21" t="n">
        <v>11</v>
      </c>
      <c r="L422" s="21" t="n">
        <v>18</v>
      </c>
      <c r="M422" s="10" t="n">
        <v>6000000</v>
      </c>
      <c r="N422" s="10" t="n">
        <v>0</v>
      </c>
      <c r="O422" s="11" t="n">
        <f aca="false">ROUND((M422+N422)*0.18,0)</f>
        <v>1080000</v>
      </c>
      <c r="P422" s="11" t="n">
        <f aca="false">M422+N422+O422</f>
        <v>7080000</v>
      </c>
      <c r="Q422" s="9" t="s">
        <v>869</v>
      </c>
      <c r="R422" s="8" t="s">
        <v>303</v>
      </c>
      <c r="S422" s="8" t="s">
        <v>293</v>
      </c>
    </row>
    <row r="423" customFormat="false" ht="22.35" hidden="false" customHeight="false" outlineLevel="0" collapsed="false">
      <c r="B423" s="8" t="s">
        <v>209</v>
      </c>
      <c r="C423" s="8" t="s">
        <v>279</v>
      </c>
      <c r="D423" s="9" t="s">
        <v>367</v>
      </c>
      <c r="E423" s="8" t="s">
        <v>81</v>
      </c>
      <c r="F423" s="8" t="s">
        <v>376</v>
      </c>
      <c r="G423" s="9" t="s">
        <v>377</v>
      </c>
      <c r="H423" s="21" t="n">
        <v>6</v>
      </c>
      <c r="I423" s="8" t="s">
        <v>288</v>
      </c>
      <c r="J423" s="8" t="s">
        <v>290</v>
      </c>
      <c r="K423" s="21" t="n">
        <v>17</v>
      </c>
      <c r="L423" s="21" t="n">
        <v>22</v>
      </c>
      <c r="M423" s="10" t="n">
        <v>4000000</v>
      </c>
      <c r="N423" s="10" t="n">
        <v>0</v>
      </c>
      <c r="O423" s="11" t="n">
        <f aca="false">ROUND((M423+N423)*0.18,0)</f>
        <v>720000</v>
      </c>
      <c r="P423" s="11" t="n">
        <f aca="false">M423+N423+O423</f>
        <v>4720000</v>
      </c>
      <c r="Q423" s="9" t="s">
        <v>870</v>
      </c>
      <c r="R423" s="8" t="s">
        <v>303</v>
      </c>
      <c r="S423" s="8" t="s">
        <v>293</v>
      </c>
    </row>
    <row r="424" customFormat="false" ht="15" hidden="false" customHeight="false" outlineLevel="0" collapsed="false">
      <c r="B424" s="8" t="s">
        <v>209</v>
      </c>
      <c r="C424" s="8" t="s">
        <v>297</v>
      </c>
      <c r="D424" s="9" t="s">
        <v>379</v>
      </c>
      <c r="E424" s="8" t="s">
        <v>299</v>
      </c>
      <c r="F424" s="8" t="s">
        <v>300</v>
      </c>
      <c r="G424" s="9" t="s">
        <v>380</v>
      </c>
      <c r="H424" s="21" t="n">
        <v>6</v>
      </c>
      <c r="I424" s="8" t="s">
        <v>288</v>
      </c>
      <c r="J424" s="8" t="s">
        <v>376</v>
      </c>
      <c r="K424" s="21" t="n">
        <v>23</v>
      </c>
      <c r="L424" s="21" t="n">
        <v>28</v>
      </c>
      <c r="M424" s="10" t="n">
        <v>35000000</v>
      </c>
      <c r="N424" s="10" t="n">
        <v>0</v>
      </c>
      <c r="O424" s="11" t="n">
        <f aca="false">ROUND((M424+N424)*0.18,0)</f>
        <v>6300000</v>
      </c>
      <c r="P424" s="11" t="n">
        <f aca="false">M424+N424+O424</f>
        <v>41300000</v>
      </c>
      <c r="Q424" s="9" t="s">
        <v>871</v>
      </c>
      <c r="R424" s="8" t="s">
        <v>303</v>
      </c>
      <c r="S424" s="8" t="s">
        <v>293</v>
      </c>
    </row>
    <row r="425" customFormat="false" ht="22.35" hidden="false" customHeight="false" outlineLevel="0" collapsed="false">
      <c r="B425" s="8" t="s">
        <v>209</v>
      </c>
      <c r="C425" s="8" t="s">
        <v>297</v>
      </c>
      <c r="D425" s="9" t="s">
        <v>379</v>
      </c>
      <c r="E425" s="8" t="s">
        <v>299</v>
      </c>
      <c r="F425" s="8" t="s">
        <v>304</v>
      </c>
      <c r="G425" s="9" t="s">
        <v>381</v>
      </c>
      <c r="H425" s="21" t="n">
        <v>4</v>
      </c>
      <c r="I425" s="8" t="s">
        <v>288</v>
      </c>
      <c r="J425" s="8" t="s">
        <v>300</v>
      </c>
      <c r="K425" s="21" t="n">
        <v>29</v>
      </c>
      <c r="L425" s="21" t="n">
        <v>32</v>
      </c>
      <c r="M425" s="10" t="n">
        <v>10000000</v>
      </c>
      <c r="N425" s="10" t="n">
        <v>0</v>
      </c>
      <c r="O425" s="11" t="n">
        <f aca="false">ROUND((M425+N425)*0.18,0)</f>
        <v>1800000</v>
      </c>
      <c r="P425" s="11" t="n">
        <f aca="false">M425+N425+O425</f>
        <v>11800000</v>
      </c>
      <c r="Q425" s="9" t="s">
        <v>872</v>
      </c>
      <c r="R425" s="8" t="s">
        <v>303</v>
      </c>
      <c r="S425" s="8" t="s">
        <v>293</v>
      </c>
    </row>
    <row r="426" customFormat="false" ht="22.35" hidden="false" customHeight="false" outlineLevel="0" collapsed="false">
      <c r="B426" s="8" t="s">
        <v>209</v>
      </c>
      <c r="C426" s="8" t="s">
        <v>297</v>
      </c>
      <c r="D426" s="9" t="s">
        <v>379</v>
      </c>
      <c r="E426" s="8" t="s">
        <v>299</v>
      </c>
      <c r="F426" s="8" t="s">
        <v>307</v>
      </c>
      <c r="G426" s="9" t="s">
        <v>383</v>
      </c>
      <c r="H426" s="21" t="n">
        <v>6</v>
      </c>
      <c r="I426" s="8" t="s">
        <v>384</v>
      </c>
      <c r="J426" s="8" t="s">
        <v>300</v>
      </c>
      <c r="K426" s="21" t="n">
        <v>23</v>
      </c>
      <c r="L426" s="21" t="n">
        <v>28</v>
      </c>
      <c r="M426" s="10" t="n">
        <v>15000000</v>
      </c>
      <c r="N426" s="10" t="n">
        <v>0</v>
      </c>
      <c r="O426" s="11" t="n">
        <f aca="false">ROUND((M426+N426)*0.18,0)</f>
        <v>2700000</v>
      </c>
      <c r="P426" s="11" t="n">
        <f aca="false">M426+N426+O426</f>
        <v>17700000</v>
      </c>
      <c r="Q426" s="9" t="s">
        <v>873</v>
      </c>
      <c r="R426" s="8" t="s">
        <v>303</v>
      </c>
      <c r="S426" s="8" t="s">
        <v>293</v>
      </c>
    </row>
    <row r="427" customFormat="false" ht="22.35" hidden="false" customHeight="false" outlineLevel="0" collapsed="false">
      <c r="B427" s="8" t="s">
        <v>209</v>
      </c>
      <c r="C427" s="8" t="s">
        <v>310</v>
      </c>
      <c r="D427" s="9" t="s">
        <v>386</v>
      </c>
      <c r="E427" s="8" t="s">
        <v>299</v>
      </c>
      <c r="F427" s="8" t="s">
        <v>312</v>
      </c>
      <c r="G427" s="9" t="s">
        <v>387</v>
      </c>
      <c r="H427" s="21" t="n">
        <v>5</v>
      </c>
      <c r="I427" s="8" t="s">
        <v>288</v>
      </c>
      <c r="J427" s="8" t="s">
        <v>300</v>
      </c>
      <c r="K427" s="21" t="n">
        <v>29</v>
      </c>
      <c r="L427" s="21" t="n">
        <v>33</v>
      </c>
      <c r="M427" s="10" t="n">
        <v>70000000</v>
      </c>
      <c r="N427" s="10" t="n">
        <v>0</v>
      </c>
      <c r="O427" s="11" t="n">
        <f aca="false">ROUND((M427+N427)*0.18,0)</f>
        <v>12600000</v>
      </c>
      <c r="P427" s="11" t="n">
        <f aca="false">M427+N427+O427</f>
        <v>82600000</v>
      </c>
      <c r="Q427" s="9" t="s">
        <v>874</v>
      </c>
      <c r="R427" s="8" t="s">
        <v>303</v>
      </c>
      <c r="S427" s="8" t="s">
        <v>293</v>
      </c>
    </row>
    <row r="428" customFormat="false" ht="15" hidden="false" customHeight="false" outlineLevel="0" collapsed="false">
      <c r="B428" s="8" t="s">
        <v>209</v>
      </c>
      <c r="C428" s="8" t="s">
        <v>310</v>
      </c>
      <c r="D428" s="9" t="s">
        <v>386</v>
      </c>
      <c r="E428" s="8" t="s">
        <v>299</v>
      </c>
      <c r="F428" s="8" t="s">
        <v>315</v>
      </c>
      <c r="G428" s="9" t="s">
        <v>389</v>
      </c>
      <c r="H428" s="21" t="n">
        <v>4</v>
      </c>
      <c r="I428" s="8" t="s">
        <v>288</v>
      </c>
      <c r="J428" s="8" t="s">
        <v>312</v>
      </c>
      <c r="K428" s="21" t="n">
        <v>34</v>
      </c>
      <c r="L428" s="21" t="n">
        <v>37</v>
      </c>
      <c r="M428" s="10" t="n">
        <v>65000000</v>
      </c>
      <c r="N428" s="10" t="n">
        <v>0</v>
      </c>
      <c r="O428" s="11" t="n">
        <f aca="false">ROUND((M428+N428)*0.18,0)</f>
        <v>11700000</v>
      </c>
      <c r="P428" s="11" t="n">
        <f aca="false">M428+N428+O428</f>
        <v>76700000</v>
      </c>
      <c r="Q428" s="9" t="s">
        <v>875</v>
      </c>
      <c r="R428" s="8" t="s">
        <v>303</v>
      </c>
      <c r="S428" s="8" t="s">
        <v>293</v>
      </c>
    </row>
    <row r="429" customFormat="false" ht="15" hidden="false" customHeight="false" outlineLevel="0" collapsed="false">
      <c r="B429" s="8" t="s">
        <v>209</v>
      </c>
      <c r="C429" s="8" t="s">
        <v>310</v>
      </c>
      <c r="D429" s="9" t="s">
        <v>386</v>
      </c>
      <c r="E429" s="8" t="s">
        <v>299</v>
      </c>
      <c r="F429" s="8" t="s">
        <v>318</v>
      </c>
      <c r="G429" s="9" t="s">
        <v>390</v>
      </c>
      <c r="H429" s="21" t="n">
        <v>6</v>
      </c>
      <c r="I429" s="8" t="s">
        <v>288</v>
      </c>
      <c r="J429" s="8" t="s">
        <v>315</v>
      </c>
      <c r="K429" s="21" t="n">
        <v>38</v>
      </c>
      <c r="L429" s="21" t="n">
        <v>43</v>
      </c>
      <c r="M429" s="10" t="n">
        <v>45000000</v>
      </c>
      <c r="N429" s="10" t="n">
        <v>0</v>
      </c>
      <c r="O429" s="11" t="n">
        <f aca="false">ROUND((M429+N429)*0.18,0)</f>
        <v>8100000</v>
      </c>
      <c r="P429" s="11" t="n">
        <f aca="false">M429+N429+O429</f>
        <v>53100000</v>
      </c>
      <c r="Q429" s="9" t="s">
        <v>875</v>
      </c>
      <c r="R429" s="8" t="s">
        <v>303</v>
      </c>
      <c r="S429" s="8" t="s">
        <v>293</v>
      </c>
    </row>
    <row r="430" customFormat="false" ht="22.35" hidden="false" customHeight="false" outlineLevel="0" collapsed="false">
      <c r="B430" s="8" t="s">
        <v>209</v>
      </c>
      <c r="C430" s="8" t="s">
        <v>320</v>
      </c>
      <c r="D430" s="9" t="s">
        <v>391</v>
      </c>
      <c r="E430" s="8" t="s">
        <v>299</v>
      </c>
      <c r="F430" s="8" t="s">
        <v>323</v>
      </c>
      <c r="G430" s="9" t="s">
        <v>392</v>
      </c>
      <c r="H430" s="21" t="n">
        <v>7</v>
      </c>
      <c r="I430" s="8" t="s">
        <v>288</v>
      </c>
      <c r="J430" s="8" t="s">
        <v>376</v>
      </c>
      <c r="K430" s="21" t="n">
        <v>23</v>
      </c>
      <c r="L430" s="21" t="n">
        <v>29</v>
      </c>
      <c r="M430" s="10" t="n">
        <v>190000000</v>
      </c>
      <c r="N430" s="10" t="n">
        <v>0</v>
      </c>
      <c r="O430" s="11" t="n">
        <f aca="false">ROUND((M430+N430)*0.18,0)</f>
        <v>34200000</v>
      </c>
      <c r="P430" s="11" t="n">
        <f aca="false">M430+N430+O430</f>
        <v>224200000</v>
      </c>
      <c r="Q430" s="9" t="s">
        <v>876</v>
      </c>
      <c r="R430" s="8" t="s">
        <v>303</v>
      </c>
      <c r="S430" s="8" t="s">
        <v>293</v>
      </c>
    </row>
    <row r="431" customFormat="false" ht="15" hidden="false" customHeight="false" outlineLevel="0" collapsed="false">
      <c r="B431" s="8" t="s">
        <v>209</v>
      </c>
      <c r="C431" s="8" t="s">
        <v>320</v>
      </c>
      <c r="D431" s="9" t="s">
        <v>391</v>
      </c>
      <c r="E431" s="8" t="s">
        <v>299</v>
      </c>
      <c r="F431" s="8" t="s">
        <v>326</v>
      </c>
      <c r="G431" s="9" t="s">
        <v>394</v>
      </c>
      <c r="H431" s="21" t="n">
        <v>6</v>
      </c>
      <c r="I431" s="8" t="s">
        <v>288</v>
      </c>
      <c r="J431" s="8" t="s">
        <v>315</v>
      </c>
      <c r="K431" s="21" t="n">
        <v>38</v>
      </c>
      <c r="L431" s="21" t="n">
        <v>43</v>
      </c>
      <c r="M431" s="10" t="n">
        <v>60000000</v>
      </c>
      <c r="N431" s="10" t="n">
        <v>0</v>
      </c>
      <c r="O431" s="11" t="n">
        <f aca="false">ROUND((M431+N431)*0.18,0)</f>
        <v>10800000</v>
      </c>
      <c r="P431" s="11" t="n">
        <f aca="false">M431+N431+O431</f>
        <v>70800000</v>
      </c>
      <c r="Q431" s="9" t="s">
        <v>875</v>
      </c>
      <c r="R431" s="8" t="s">
        <v>303</v>
      </c>
      <c r="S431" s="8" t="s">
        <v>293</v>
      </c>
    </row>
    <row r="432" customFormat="false" ht="15" hidden="false" customHeight="false" outlineLevel="0" collapsed="false">
      <c r="B432" s="8" t="s">
        <v>209</v>
      </c>
      <c r="C432" s="8" t="s">
        <v>320</v>
      </c>
      <c r="D432" s="9" t="s">
        <v>391</v>
      </c>
      <c r="E432" s="8" t="s">
        <v>299</v>
      </c>
      <c r="F432" s="8" t="s">
        <v>329</v>
      </c>
      <c r="G432" s="9" t="s">
        <v>395</v>
      </c>
      <c r="H432" s="21" t="n">
        <v>5</v>
      </c>
      <c r="I432" s="8" t="s">
        <v>288</v>
      </c>
      <c r="J432" s="8" t="s">
        <v>326</v>
      </c>
      <c r="K432" s="21" t="n">
        <v>44</v>
      </c>
      <c r="L432" s="21" t="n">
        <v>48</v>
      </c>
      <c r="M432" s="10" t="n">
        <v>30000000</v>
      </c>
      <c r="N432" s="10" t="n">
        <v>0</v>
      </c>
      <c r="O432" s="11" t="n">
        <f aca="false">ROUND((M432+N432)*0.18,0)</f>
        <v>5400000</v>
      </c>
      <c r="P432" s="11" t="n">
        <f aca="false">M432+N432+O432</f>
        <v>35400000</v>
      </c>
      <c r="Q432" s="9" t="s">
        <v>875</v>
      </c>
      <c r="R432" s="8" t="s">
        <v>303</v>
      </c>
      <c r="S432" s="8" t="s">
        <v>293</v>
      </c>
    </row>
    <row r="433" customFormat="false" ht="22.35" hidden="false" customHeight="false" outlineLevel="0" collapsed="false">
      <c r="B433" s="8" t="s">
        <v>209</v>
      </c>
      <c r="C433" s="8" t="s">
        <v>335</v>
      </c>
      <c r="D433" s="9" t="s">
        <v>396</v>
      </c>
      <c r="E433" s="8" t="s">
        <v>322</v>
      </c>
      <c r="F433" s="8" t="s">
        <v>337</v>
      </c>
      <c r="G433" s="9" t="s">
        <v>397</v>
      </c>
      <c r="H433" s="21" t="n">
        <v>12</v>
      </c>
      <c r="I433" s="8" t="s">
        <v>288</v>
      </c>
      <c r="J433" s="8" t="s">
        <v>376</v>
      </c>
      <c r="K433" s="21" t="n">
        <v>23</v>
      </c>
      <c r="L433" s="21" t="n">
        <v>34</v>
      </c>
      <c r="M433" s="10" t="n">
        <v>130000000</v>
      </c>
      <c r="N433" s="10" t="n">
        <v>18055556</v>
      </c>
      <c r="O433" s="11" t="n">
        <f aca="false">ROUND((M433+N433)*0.18,0)</f>
        <v>26650000</v>
      </c>
      <c r="P433" s="11" t="n">
        <f aca="false">M433+N433+O433</f>
        <v>174705556</v>
      </c>
      <c r="Q433" s="9" t="s">
        <v>877</v>
      </c>
      <c r="R433" s="8" t="s">
        <v>303</v>
      </c>
      <c r="S433" s="8" t="s">
        <v>293</v>
      </c>
    </row>
    <row r="434" customFormat="false" ht="22.35" hidden="false" customHeight="false" outlineLevel="0" collapsed="false">
      <c r="B434" s="8" t="s">
        <v>209</v>
      </c>
      <c r="C434" s="8" t="s">
        <v>335</v>
      </c>
      <c r="D434" s="9" t="s">
        <v>396</v>
      </c>
      <c r="E434" s="8" t="s">
        <v>322</v>
      </c>
      <c r="F434" s="8" t="s">
        <v>340</v>
      </c>
      <c r="G434" s="9" t="s">
        <v>327</v>
      </c>
      <c r="H434" s="21" t="n">
        <v>5</v>
      </c>
      <c r="I434" s="8" t="s">
        <v>288</v>
      </c>
      <c r="J434" s="8" t="s">
        <v>337</v>
      </c>
      <c r="K434" s="21" t="n">
        <v>35</v>
      </c>
      <c r="L434" s="21" t="n">
        <v>39</v>
      </c>
      <c r="M434" s="10" t="n">
        <v>0</v>
      </c>
      <c r="N434" s="10" t="n">
        <v>0</v>
      </c>
      <c r="O434" s="11" t="n">
        <f aca="false">ROUND((M434+N434)*0.18,0)</f>
        <v>0</v>
      </c>
      <c r="P434" s="11" t="n">
        <f aca="false">M434+N434+O434</f>
        <v>0</v>
      </c>
      <c r="Q434" s="9" t="s">
        <v>878</v>
      </c>
      <c r="R434" s="8" t="s">
        <v>303</v>
      </c>
      <c r="S434" s="8" t="s">
        <v>293</v>
      </c>
    </row>
    <row r="435" customFormat="false" ht="22.35" hidden="false" customHeight="false" outlineLevel="0" collapsed="false">
      <c r="B435" s="8" t="s">
        <v>209</v>
      </c>
      <c r="C435" s="8" t="s">
        <v>335</v>
      </c>
      <c r="D435" s="9" t="s">
        <v>396</v>
      </c>
      <c r="E435" s="8" t="s">
        <v>322</v>
      </c>
      <c r="F435" s="8" t="s">
        <v>341</v>
      </c>
      <c r="G435" s="9" t="s">
        <v>399</v>
      </c>
      <c r="H435" s="21" t="n">
        <v>5</v>
      </c>
      <c r="I435" s="8" t="s">
        <v>288</v>
      </c>
      <c r="J435" s="8" t="s">
        <v>329</v>
      </c>
      <c r="K435" s="21" t="n">
        <v>49</v>
      </c>
      <c r="L435" s="21" t="n">
        <v>53</v>
      </c>
      <c r="M435" s="10" t="n">
        <v>0</v>
      </c>
      <c r="N435" s="10" t="n">
        <v>0</v>
      </c>
      <c r="O435" s="11" t="n">
        <f aca="false">ROUND((M435+N435)*0.18,0)</f>
        <v>0</v>
      </c>
      <c r="P435" s="11" t="n">
        <f aca="false">M435+N435+O435</f>
        <v>0</v>
      </c>
      <c r="Q435" s="9" t="s">
        <v>879</v>
      </c>
      <c r="R435" s="8" t="s">
        <v>303</v>
      </c>
      <c r="S435" s="8" t="s">
        <v>293</v>
      </c>
    </row>
    <row r="436" customFormat="false" ht="22.35" hidden="false" customHeight="false" outlineLevel="0" collapsed="false">
      <c r="B436" s="8" t="s">
        <v>209</v>
      </c>
      <c r="C436" s="8" t="s">
        <v>343</v>
      </c>
      <c r="D436" s="9" t="s">
        <v>400</v>
      </c>
      <c r="E436" s="8" t="s">
        <v>322</v>
      </c>
      <c r="F436" s="8" t="s">
        <v>346</v>
      </c>
      <c r="G436" s="9" t="s">
        <v>401</v>
      </c>
      <c r="H436" s="21" t="n">
        <v>12</v>
      </c>
      <c r="I436" s="8" t="s">
        <v>288</v>
      </c>
      <c r="J436" s="8" t="s">
        <v>376</v>
      </c>
      <c r="K436" s="21" t="n">
        <v>23</v>
      </c>
      <c r="L436" s="21" t="n">
        <v>34</v>
      </c>
      <c r="M436" s="10" t="n">
        <v>110000000</v>
      </c>
      <c r="N436" s="10" t="n">
        <v>15277778</v>
      </c>
      <c r="O436" s="11" t="n">
        <f aca="false">ROUND((M436+N436)*0.18,0)</f>
        <v>22550000</v>
      </c>
      <c r="P436" s="11" t="n">
        <f aca="false">M436+N436+O436</f>
        <v>147827778</v>
      </c>
      <c r="Q436" s="9" t="s">
        <v>880</v>
      </c>
      <c r="R436" s="8" t="s">
        <v>303</v>
      </c>
      <c r="S436" s="8" t="s">
        <v>293</v>
      </c>
    </row>
    <row r="437" customFormat="false" ht="22.35" hidden="false" customHeight="false" outlineLevel="0" collapsed="false">
      <c r="B437" s="8" t="s">
        <v>209</v>
      </c>
      <c r="C437" s="8" t="s">
        <v>343</v>
      </c>
      <c r="D437" s="9" t="s">
        <v>400</v>
      </c>
      <c r="E437" s="8" t="s">
        <v>322</v>
      </c>
      <c r="F437" s="8" t="s">
        <v>348</v>
      </c>
      <c r="G437" s="9" t="s">
        <v>327</v>
      </c>
      <c r="H437" s="21" t="n">
        <v>5</v>
      </c>
      <c r="I437" s="8" t="s">
        <v>288</v>
      </c>
      <c r="J437" s="8" t="s">
        <v>346</v>
      </c>
      <c r="K437" s="21" t="n">
        <v>35</v>
      </c>
      <c r="L437" s="21" t="n">
        <v>39</v>
      </c>
      <c r="M437" s="10" t="n">
        <v>0</v>
      </c>
      <c r="N437" s="10" t="n">
        <v>0</v>
      </c>
      <c r="O437" s="11" t="n">
        <f aca="false">ROUND((M437+N437)*0.18,0)</f>
        <v>0</v>
      </c>
      <c r="P437" s="11" t="n">
        <f aca="false">M437+N437+O437</f>
        <v>0</v>
      </c>
      <c r="Q437" s="9" t="s">
        <v>878</v>
      </c>
      <c r="R437" s="8" t="s">
        <v>303</v>
      </c>
      <c r="S437" s="8" t="s">
        <v>293</v>
      </c>
    </row>
    <row r="438" customFormat="false" ht="22.35" hidden="false" customHeight="false" outlineLevel="0" collapsed="false">
      <c r="B438" s="8" t="s">
        <v>209</v>
      </c>
      <c r="C438" s="8" t="s">
        <v>343</v>
      </c>
      <c r="D438" s="9" t="s">
        <v>400</v>
      </c>
      <c r="E438" s="8" t="s">
        <v>322</v>
      </c>
      <c r="F438" s="8" t="s">
        <v>403</v>
      </c>
      <c r="G438" s="9" t="s">
        <v>404</v>
      </c>
      <c r="H438" s="21" t="n">
        <v>5</v>
      </c>
      <c r="I438" s="8" t="s">
        <v>288</v>
      </c>
      <c r="J438" s="8" t="s">
        <v>341</v>
      </c>
      <c r="K438" s="21" t="n">
        <v>54</v>
      </c>
      <c r="L438" s="21" t="n">
        <v>58</v>
      </c>
      <c r="M438" s="10" t="n">
        <v>0</v>
      </c>
      <c r="N438" s="10" t="n">
        <v>0</v>
      </c>
      <c r="O438" s="11" t="n">
        <f aca="false">ROUND((M438+N438)*0.18,0)</f>
        <v>0</v>
      </c>
      <c r="P438" s="11" t="n">
        <f aca="false">M438+N438+O438</f>
        <v>0</v>
      </c>
      <c r="Q438" s="9" t="s">
        <v>879</v>
      </c>
      <c r="R438" s="8" t="s">
        <v>303</v>
      </c>
      <c r="S438" s="8" t="s">
        <v>293</v>
      </c>
    </row>
    <row r="439" customFormat="false" ht="22.35" hidden="false" customHeight="false" outlineLevel="0" collapsed="false">
      <c r="B439" s="8" t="s">
        <v>209</v>
      </c>
      <c r="C439" s="8" t="s">
        <v>351</v>
      </c>
      <c r="D439" s="9" t="s">
        <v>405</v>
      </c>
      <c r="E439" s="8" t="s">
        <v>345</v>
      </c>
      <c r="F439" s="8" t="s">
        <v>353</v>
      </c>
      <c r="G439" s="9" t="s">
        <v>406</v>
      </c>
      <c r="H439" s="21" t="n">
        <v>10</v>
      </c>
      <c r="I439" s="8" t="s">
        <v>288</v>
      </c>
      <c r="J439" s="8" t="s">
        <v>376</v>
      </c>
      <c r="K439" s="21" t="n">
        <v>23</v>
      </c>
      <c r="L439" s="21" t="n">
        <v>32</v>
      </c>
      <c r="M439" s="10" t="n">
        <v>80000000</v>
      </c>
      <c r="N439" s="10" t="n">
        <v>11111111</v>
      </c>
      <c r="O439" s="11" t="n">
        <f aca="false">ROUND((M439+N439)*0.18,0)</f>
        <v>16400000</v>
      </c>
      <c r="P439" s="11" t="n">
        <f aca="false">M439+N439+O439</f>
        <v>107511111</v>
      </c>
      <c r="Q439" s="9" t="s">
        <v>881</v>
      </c>
      <c r="R439" s="8" t="s">
        <v>303</v>
      </c>
      <c r="S439" s="8" t="s">
        <v>293</v>
      </c>
    </row>
    <row r="440" customFormat="false" ht="22.35" hidden="false" customHeight="false" outlineLevel="0" collapsed="false">
      <c r="B440" s="8" t="s">
        <v>209</v>
      </c>
      <c r="C440" s="8" t="s">
        <v>351</v>
      </c>
      <c r="D440" s="9" t="s">
        <v>405</v>
      </c>
      <c r="E440" s="8" t="s">
        <v>345</v>
      </c>
      <c r="F440" s="8" t="s">
        <v>356</v>
      </c>
      <c r="G440" s="9" t="s">
        <v>327</v>
      </c>
      <c r="H440" s="21" t="n">
        <v>5</v>
      </c>
      <c r="I440" s="8" t="s">
        <v>288</v>
      </c>
      <c r="J440" s="8" t="s">
        <v>353</v>
      </c>
      <c r="K440" s="21" t="n">
        <v>33</v>
      </c>
      <c r="L440" s="21" t="n">
        <v>37</v>
      </c>
      <c r="M440" s="10" t="n">
        <v>0</v>
      </c>
      <c r="N440" s="10" t="n">
        <v>0</v>
      </c>
      <c r="O440" s="11" t="n">
        <f aca="false">ROUND((M440+N440)*0.18,0)</f>
        <v>0</v>
      </c>
      <c r="P440" s="11" t="n">
        <f aca="false">M440+N440+O440</f>
        <v>0</v>
      </c>
      <c r="Q440" s="9" t="s">
        <v>878</v>
      </c>
      <c r="R440" s="8" t="s">
        <v>303</v>
      </c>
      <c r="S440" s="8" t="s">
        <v>293</v>
      </c>
    </row>
    <row r="441" customFormat="false" ht="15" hidden="false" customHeight="false" outlineLevel="0" collapsed="false">
      <c r="B441" s="8" t="s">
        <v>209</v>
      </c>
      <c r="C441" s="8" t="s">
        <v>351</v>
      </c>
      <c r="D441" s="9" t="s">
        <v>405</v>
      </c>
      <c r="E441" s="8" t="s">
        <v>345</v>
      </c>
      <c r="F441" s="8" t="s">
        <v>408</v>
      </c>
      <c r="G441" s="9" t="s">
        <v>409</v>
      </c>
      <c r="H441" s="21" t="n">
        <v>5</v>
      </c>
      <c r="I441" s="8" t="s">
        <v>288</v>
      </c>
      <c r="J441" s="8" t="s">
        <v>329</v>
      </c>
      <c r="K441" s="21" t="n">
        <v>49</v>
      </c>
      <c r="L441" s="21" t="n">
        <v>53</v>
      </c>
      <c r="M441" s="10" t="n">
        <v>15000000</v>
      </c>
      <c r="N441" s="10" t="n">
        <v>0</v>
      </c>
      <c r="O441" s="11" t="n">
        <f aca="false">ROUND((M441+N441)*0.18,0)</f>
        <v>2700000</v>
      </c>
      <c r="P441" s="11" t="n">
        <f aca="false">M441+N441+O441</f>
        <v>17700000</v>
      </c>
      <c r="Q441" s="9" t="s">
        <v>875</v>
      </c>
      <c r="R441" s="8" t="s">
        <v>303</v>
      </c>
      <c r="S441" s="8" t="s">
        <v>293</v>
      </c>
    </row>
    <row r="442" customFormat="false" ht="22.35" hidden="false" customHeight="false" outlineLevel="0" collapsed="false">
      <c r="B442" s="8" t="s">
        <v>209</v>
      </c>
      <c r="C442" s="8" t="s">
        <v>351</v>
      </c>
      <c r="D442" s="9" t="s">
        <v>405</v>
      </c>
      <c r="E442" s="8" t="s">
        <v>345</v>
      </c>
      <c r="F442" s="8" t="s">
        <v>410</v>
      </c>
      <c r="G442" s="9" t="s">
        <v>411</v>
      </c>
      <c r="H442" s="21" t="n">
        <v>3</v>
      </c>
      <c r="I442" s="8" t="s">
        <v>288</v>
      </c>
      <c r="J442" s="8" t="s">
        <v>408</v>
      </c>
      <c r="K442" s="21" t="n">
        <v>54</v>
      </c>
      <c r="L442" s="21" t="n">
        <v>56</v>
      </c>
      <c r="M442" s="10" t="n">
        <v>0</v>
      </c>
      <c r="N442" s="10" t="n">
        <v>0</v>
      </c>
      <c r="O442" s="11" t="n">
        <f aca="false">ROUND((M442+N442)*0.18,0)</f>
        <v>0</v>
      </c>
      <c r="P442" s="11" t="n">
        <f aca="false">M442+N442+O442</f>
        <v>0</v>
      </c>
      <c r="Q442" s="9" t="s">
        <v>882</v>
      </c>
      <c r="R442" s="8" t="s">
        <v>303</v>
      </c>
      <c r="S442" s="8" t="s">
        <v>293</v>
      </c>
    </row>
    <row r="443" customFormat="false" ht="22.35" hidden="false" customHeight="false" outlineLevel="0" collapsed="false">
      <c r="B443" s="8" t="s">
        <v>209</v>
      </c>
      <c r="C443" s="8" t="s">
        <v>359</v>
      </c>
      <c r="D443" s="9" t="s">
        <v>413</v>
      </c>
      <c r="E443" s="8" t="s">
        <v>345</v>
      </c>
      <c r="F443" s="8" t="s">
        <v>362</v>
      </c>
      <c r="G443" s="9" t="s">
        <v>414</v>
      </c>
      <c r="H443" s="21" t="n">
        <v>10</v>
      </c>
      <c r="I443" s="8" t="s">
        <v>288</v>
      </c>
      <c r="J443" s="8" t="s">
        <v>376</v>
      </c>
      <c r="K443" s="21" t="n">
        <v>23</v>
      </c>
      <c r="L443" s="21" t="n">
        <v>32</v>
      </c>
      <c r="M443" s="10" t="n">
        <v>40000000</v>
      </c>
      <c r="N443" s="10" t="n">
        <v>5555555</v>
      </c>
      <c r="O443" s="11" t="n">
        <f aca="false">ROUND((M443+N443)*0.18,0)</f>
        <v>8200000</v>
      </c>
      <c r="P443" s="11" t="n">
        <f aca="false">M443+N443+O443</f>
        <v>53755555</v>
      </c>
      <c r="Q443" s="9" t="s">
        <v>883</v>
      </c>
      <c r="R443" s="8" t="s">
        <v>303</v>
      </c>
      <c r="S443" s="8" t="s">
        <v>293</v>
      </c>
    </row>
    <row r="444" customFormat="false" ht="15" hidden="false" customHeight="false" outlineLevel="0" collapsed="false">
      <c r="B444" s="8" t="s">
        <v>209</v>
      </c>
      <c r="C444" s="8" t="s">
        <v>359</v>
      </c>
      <c r="D444" s="9" t="s">
        <v>413</v>
      </c>
      <c r="E444" s="8" t="s">
        <v>345</v>
      </c>
      <c r="F444" s="8" t="s">
        <v>364</v>
      </c>
      <c r="G444" s="9" t="s">
        <v>416</v>
      </c>
      <c r="H444" s="21" t="n">
        <v>4</v>
      </c>
      <c r="I444" s="8" t="s">
        <v>288</v>
      </c>
      <c r="J444" s="8" t="s">
        <v>410</v>
      </c>
      <c r="K444" s="21" t="n">
        <v>57</v>
      </c>
      <c r="L444" s="21" t="n">
        <v>60</v>
      </c>
      <c r="M444" s="10" t="n">
        <v>5000000</v>
      </c>
      <c r="N444" s="10" t="n">
        <v>0</v>
      </c>
      <c r="O444" s="11" t="n">
        <f aca="false">ROUND((M444+N444)*0.18,0)</f>
        <v>900000</v>
      </c>
      <c r="P444" s="11" t="n">
        <f aca="false">M444+N444+O444</f>
        <v>5900000</v>
      </c>
      <c r="Q444" s="9" t="s">
        <v>875</v>
      </c>
      <c r="R444" s="8" t="s">
        <v>303</v>
      </c>
      <c r="S444" s="8" t="s">
        <v>293</v>
      </c>
    </row>
    <row r="445" customFormat="false" ht="22.35" hidden="false" customHeight="false" outlineLevel="0" collapsed="false">
      <c r="B445" s="8" t="s">
        <v>209</v>
      </c>
      <c r="C445" s="8" t="s">
        <v>417</v>
      </c>
      <c r="D445" s="9" t="s">
        <v>418</v>
      </c>
      <c r="E445" s="8" t="s">
        <v>322</v>
      </c>
      <c r="F445" s="8" t="s">
        <v>419</v>
      </c>
      <c r="G445" s="9" t="s">
        <v>420</v>
      </c>
      <c r="H445" s="21" t="n">
        <v>5</v>
      </c>
      <c r="I445" s="8" t="s">
        <v>288</v>
      </c>
      <c r="J445" s="8" t="s">
        <v>318</v>
      </c>
      <c r="K445" s="21" t="n">
        <v>44</v>
      </c>
      <c r="L445" s="21" t="n">
        <v>48</v>
      </c>
      <c r="M445" s="10" t="n">
        <v>30000000</v>
      </c>
      <c r="N445" s="10" t="n">
        <v>0</v>
      </c>
      <c r="O445" s="11" t="n">
        <f aca="false">ROUND((M445+N445)*0.18,0)</f>
        <v>5400000</v>
      </c>
      <c r="P445" s="11" t="n">
        <f aca="false">M445+N445+O445</f>
        <v>35400000</v>
      </c>
      <c r="Q445" s="9" t="s">
        <v>884</v>
      </c>
      <c r="R445" s="8" t="s">
        <v>303</v>
      </c>
      <c r="S445" s="8" t="s">
        <v>293</v>
      </c>
    </row>
    <row r="446" customFormat="false" ht="22.35" hidden="false" customHeight="false" outlineLevel="0" collapsed="false">
      <c r="B446" s="8" t="s">
        <v>209</v>
      </c>
      <c r="C446" s="8" t="s">
        <v>417</v>
      </c>
      <c r="D446" s="9" t="s">
        <v>418</v>
      </c>
      <c r="E446" s="8" t="s">
        <v>322</v>
      </c>
      <c r="F446" s="8" t="s">
        <v>422</v>
      </c>
      <c r="G446" s="9" t="s">
        <v>423</v>
      </c>
      <c r="H446" s="21" t="n">
        <v>3</v>
      </c>
      <c r="I446" s="8" t="s">
        <v>288</v>
      </c>
      <c r="J446" s="8" t="s">
        <v>419</v>
      </c>
      <c r="K446" s="21" t="n">
        <v>49</v>
      </c>
      <c r="L446" s="21" t="n">
        <v>51</v>
      </c>
      <c r="M446" s="10" t="n">
        <v>10000000</v>
      </c>
      <c r="N446" s="10" t="n">
        <v>0</v>
      </c>
      <c r="O446" s="11" t="n">
        <f aca="false">ROUND((M446+N446)*0.18,0)</f>
        <v>1800000</v>
      </c>
      <c r="P446" s="11" t="n">
        <f aca="false">M446+N446+O446</f>
        <v>11800000</v>
      </c>
      <c r="Q446" s="9" t="s">
        <v>875</v>
      </c>
      <c r="R446" s="8" t="s">
        <v>303</v>
      </c>
      <c r="S446" s="8" t="s">
        <v>293</v>
      </c>
    </row>
    <row r="447" customFormat="false" ht="15" hidden="false" customHeight="false" outlineLevel="0" collapsed="false">
      <c r="B447" s="8" t="s">
        <v>209</v>
      </c>
      <c r="C447" s="8" t="s">
        <v>424</v>
      </c>
      <c r="D447" s="9" t="s">
        <v>425</v>
      </c>
      <c r="E447" s="8" t="s">
        <v>361</v>
      </c>
      <c r="F447" s="8" t="s">
        <v>426</v>
      </c>
      <c r="G447" s="9" t="s">
        <v>427</v>
      </c>
      <c r="H447" s="21" t="n">
        <v>3</v>
      </c>
      <c r="I447" s="8" t="s">
        <v>288</v>
      </c>
      <c r="J447" s="8" t="s">
        <v>403</v>
      </c>
      <c r="K447" s="21" t="n">
        <v>59</v>
      </c>
      <c r="L447" s="21" t="n">
        <v>61</v>
      </c>
      <c r="M447" s="10" t="n">
        <v>5000000</v>
      </c>
      <c r="N447" s="10" t="n">
        <v>0</v>
      </c>
      <c r="O447" s="11" t="n">
        <f aca="false">ROUND((M447+N447)*0.18,0)</f>
        <v>900000</v>
      </c>
      <c r="P447" s="11" t="n">
        <f aca="false">M447+N447+O447</f>
        <v>5900000</v>
      </c>
      <c r="Q447" s="9" t="s">
        <v>875</v>
      </c>
      <c r="R447" s="8" t="s">
        <v>303</v>
      </c>
      <c r="S447" s="8" t="s">
        <v>293</v>
      </c>
    </row>
    <row r="448" customFormat="false" ht="22.35" hidden="false" customHeight="false" outlineLevel="0" collapsed="false">
      <c r="B448" s="8" t="s">
        <v>209</v>
      </c>
      <c r="C448" s="8" t="s">
        <v>424</v>
      </c>
      <c r="D448" s="9" t="s">
        <v>425</v>
      </c>
      <c r="E448" s="8" t="s">
        <v>361</v>
      </c>
      <c r="F448" s="8" t="s">
        <v>428</v>
      </c>
      <c r="G448" s="9" t="s">
        <v>429</v>
      </c>
      <c r="H448" s="21" t="n">
        <v>2</v>
      </c>
      <c r="I448" s="8" t="s">
        <v>288</v>
      </c>
      <c r="J448" s="8" t="s">
        <v>426</v>
      </c>
      <c r="K448" s="21" t="n">
        <v>62</v>
      </c>
      <c r="L448" s="21" t="n">
        <v>63</v>
      </c>
      <c r="M448" s="10" t="n">
        <v>4000000</v>
      </c>
      <c r="N448" s="10" t="n">
        <v>0</v>
      </c>
      <c r="O448" s="11" t="n">
        <f aca="false">ROUND((M448+N448)*0.18,0)</f>
        <v>720000</v>
      </c>
      <c r="P448" s="11" t="n">
        <f aca="false">M448+N448+O448</f>
        <v>4720000</v>
      </c>
      <c r="Q448" s="9" t="s">
        <v>885</v>
      </c>
      <c r="R448" s="8" t="s">
        <v>303</v>
      </c>
      <c r="S448" s="8" t="s">
        <v>293</v>
      </c>
    </row>
    <row r="449" customFormat="false" ht="22.35" hidden="false" customHeight="false" outlineLevel="0" collapsed="false">
      <c r="B449" s="8" t="s">
        <v>209</v>
      </c>
      <c r="C449" s="8" t="s">
        <v>424</v>
      </c>
      <c r="D449" s="9" t="s">
        <v>425</v>
      </c>
      <c r="E449" s="8" t="s">
        <v>361</v>
      </c>
      <c r="F449" s="8" t="s">
        <v>431</v>
      </c>
      <c r="G449" s="9" t="s">
        <v>432</v>
      </c>
      <c r="H449" s="21" t="n">
        <v>8</v>
      </c>
      <c r="I449" s="8" t="s">
        <v>384</v>
      </c>
      <c r="J449" s="8" t="s">
        <v>426</v>
      </c>
      <c r="K449" s="21" t="n">
        <v>59</v>
      </c>
      <c r="L449" s="21" t="n">
        <v>66</v>
      </c>
      <c r="M449" s="10" t="n">
        <v>12000000</v>
      </c>
      <c r="N449" s="10" t="n">
        <v>0</v>
      </c>
      <c r="O449" s="11" t="n">
        <f aca="false">ROUND((M449+N449)*0.18,0)</f>
        <v>2160000</v>
      </c>
      <c r="P449" s="11" t="n">
        <f aca="false">M449+N449+O449</f>
        <v>14160000</v>
      </c>
      <c r="Q449" s="9" t="s">
        <v>886</v>
      </c>
      <c r="R449" s="8" t="s">
        <v>303</v>
      </c>
      <c r="S449" s="8" t="s">
        <v>293</v>
      </c>
    </row>
    <row r="450" customFormat="false" ht="22.35" hidden="false" customHeight="false" outlineLevel="0" collapsed="false">
      <c r="B450" s="8" t="s">
        <v>209</v>
      </c>
      <c r="C450" s="8" t="s">
        <v>424</v>
      </c>
      <c r="D450" s="9" t="s">
        <v>425</v>
      </c>
      <c r="E450" s="8" t="s">
        <v>361</v>
      </c>
      <c r="F450" s="8" t="s">
        <v>434</v>
      </c>
      <c r="G450" s="9" t="s">
        <v>435</v>
      </c>
      <c r="H450" s="21" t="n">
        <v>2</v>
      </c>
      <c r="I450" s="8" t="s">
        <v>288</v>
      </c>
      <c r="J450" s="8" t="s">
        <v>428</v>
      </c>
      <c r="K450" s="21" t="n">
        <v>64</v>
      </c>
      <c r="L450" s="21" t="n">
        <v>65</v>
      </c>
      <c r="M450" s="10" t="n">
        <v>4000000</v>
      </c>
      <c r="N450" s="10" t="n">
        <v>0</v>
      </c>
      <c r="O450" s="11" t="n">
        <f aca="false">ROUND((M450+N450)*0.18,0)</f>
        <v>720000</v>
      </c>
      <c r="P450" s="11" t="n">
        <f aca="false">M450+N450+O450</f>
        <v>4720000</v>
      </c>
      <c r="Q450" s="9" t="s">
        <v>887</v>
      </c>
      <c r="R450" s="8" t="s">
        <v>303</v>
      </c>
      <c r="S450" s="8" t="s">
        <v>293</v>
      </c>
    </row>
    <row r="451" customFormat="false" ht="15" hidden="false" customHeight="false" outlineLevel="0" collapsed="false">
      <c r="B451" s="8" t="s">
        <v>214</v>
      </c>
      <c r="C451" s="8" t="s">
        <v>279</v>
      </c>
      <c r="D451" s="9" t="s">
        <v>478</v>
      </c>
      <c r="E451" s="8" t="s">
        <v>81</v>
      </c>
      <c r="F451" s="8" t="s">
        <v>281</v>
      </c>
      <c r="G451" s="9" t="s">
        <v>479</v>
      </c>
      <c r="H451" s="21" t="n">
        <v>6</v>
      </c>
      <c r="I451" s="8"/>
      <c r="J451" s="8"/>
      <c r="K451" s="21" t="n">
        <v>1</v>
      </c>
      <c r="L451" s="21" t="n">
        <v>6</v>
      </c>
      <c r="M451" s="10" t="n">
        <v>18000000</v>
      </c>
      <c r="N451" s="10" t="n">
        <v>0</v>
      </c>
      <c r="O451" s="11" t="n">
        <f aca="false">ROUND((M451+N451)*0.18,0)</f>
        <v>3240000</v>
      </c>
      <c r="P451" s="11" t="n">
        <f aca="false">M451+N451+O451</f>
        <v>21240000</v>
      </c>
      <c r="Q451" s="9" t="s">
        <v>888</v>
      </c>
      <c r="R451" s="8" t="s">
        <v>303</v>
      </c>
      <c r="S451" s="8" t="s">
        <v>293</v>
      </c>
    </row>
    <row r="452" customFormat="false" ht="15" hidden="false" customHeight="false" outlineLevel="0" collapsed="false">
      <c r="B452" s="8" t="s">
        <v>214</v>
      </c>
      <c r="C452" s="8" t="s">
        <v>279</v>
      </c>
      <c r="D452" s="9" t="s">
        <v>478</v>
      </c>
      <c r="E452" s="8" t="s">
        <v>81</v>
      </c>
      <c r="F452" s="8" t="s">
        <v>286</v>
      </c>
      <c r="G452" s="9" t="s">
        <v>480</v>
      </c>
      <c r="H452" s="21" t="n">
        <v>8</v>
      </c>
      <c r="I452" s="8" t="s">
        <v>288</v>
      </c>
      <c r="J452" s="8" t="s">
        <v>281</v>
      </c>
      <c r="K452" s="21" t="n">
        <v>7</v>
      </c>
      <c r="L452" s="21" t="n">
        <v>14</v>
      </c>
      <c r="M452" s="10" t="n">
        <v>18000000</v>
      </c>
      <c r="N452" s="10" t="n">
        <v>0</v>
      </c>
      <c r="O452" s="11" t="n">
        <f aca="false">ROUND((M452+N452)*0.18,0)</f>
        <v>3240000</v>
      </c>
      <c r="P452" s="11" t="n">
        <f aca="false">M452+N452+O452</f>
        <v>21240000</v>
      </c>
      <c r="Q452" s="9" t="s">
        <v>888</v>
      </c>
      <c r="R452" s="8" t="s">
        <v>303</v>
      </c>
      <c r="S452" s="8" t="s">
        <v>293</v>
      </c>
    </row>
    <row r="453" customFormat="false" ht="15" hidden="false" customHeight="false" outlineLevel="0" collapsed="false">
      <c r="B453" s="8" t="s">
        <v>214</v>
      </c>
      <c r="C453" s="8" t="s">
        <v>279</v>
      </c>
      <c r="D453" s="9" t="s">
        <v>478</v>
      </c>
      <c r="E453" s="8" t="s">
        <v>81</v>
      </c>
      <c r="F453" s="8" t="s">
        <v>290</v>
      </c>
      <c r="G453" s="9" t="s">
        <v>481</v>
      </c>
      <c r="H453" s="21" t="n">
        <v>5</v>
      </c>
      <c r="I453" s="8" t="s">
        <v>288</v>
      </c>
      <c r="J453" s="8" t="s">
        <v>281</v>
      </c>
      <c r="K453" s="21" t="n">
        <v>7</v>
      </c>
      <c r="L453" s="21" t="n">
        <v>11</v>
      </c>
      <c r="M453" s="10" t="n">
        <v>18000000</v>
      </c>
      <c r="N453" s="10" t="n">
        <v>0</v>
      </c>
      <c r="O453" s="11" t="n">
        <f aca="false">ROUND((M453+N453)*0.18,0)</f>
        <v>3240000</v>
      </c>
      <c r="P453" s="11" t="n">
        <f aca="false">M453+N453+O453</f>
        <v>21240000</v>
      </c>
      <c r="Q453" s="9" t="s">
        <v>888</v>
      </c>
      <c r="R453" s="8" t="s">
        <v>303</v>
      </c>
      <c r="S453" s="8" t="s">
        <v>293</v>
      </c>
    </row>
    <row r="454" customFormat="false" ht="15" hidden="false" customHeight="false" outlineLevel="0" collapsed="false">
      <c r="B454" s="8" t="s">
        <v>214</v>
      </c>
      <c r="C454" s="8" t="s">
        <v>279</v>
      </c>
      <c r="D454" s="9" t="s">
        <v>478</v>
      </c>
      <c r="E454" s="8" t="s">
        <v>81</v>
      </c>
      <c r="F454" s="8" t="s">
        <v>294</v>
      </c>
      <c r="G454" s="9" t="s">
        <v>439</v>
      </c>
      <c r="H454" s="21" t="n">
        <v>8</v>
      </c>
      <c r="I454" s="8" t="s">
        <v>288</v>
      </c>
      <c r="J454" s="8" t="s">
        <v>290</v>
      </c>
      <c r="K454" s="21" t="n">
        <v>12</v>
      </c>
      <c r="L454" s="21" t="n">
        <v>19</v>
      </c>
      <c r="M454" s="10" t="n">
        <v>18000000</v>
      </c>
      <c r="N454" s="10" t="n">
        <v>0</v>
      </c>
      <c r="O454" s="11" t="n">
        <f aca="false">ROUND((M454+N454)*0.18,0)</f>
        <v>3240000</v>
      </c>
      <c r="P454" s="11" t="n">
        <f aca="false">M454+N454+O454</f>
        <v>21240000</v>
      </c>
      <c r="Q454" s="9" t="s">
        <v>888</v>
      </c>
      <c r="R454" s="8" t="s">
        <v>303</v>
      </c>
      <c r="S454" s="8" t="s">
        <v>293</v>
      </c>
    </row>
    <row r="455" customFormat="false" ht="15" hidden="false" customHeight="false" outlineLevel="0" collapsed="false">
      <c r="B455" s="8" t="s">
        <v>214</v>
      </c>
      <c r="C455" s="8" t="s">
        <v>279</v>
      </c>
      <c r="D455" s="9" t="s">
        <v>478</v>
      </c>
      <c r="E455" s="8" t="s">
        <v>81</v>
      </c>
      <c r="F455" s="8" t="s">
        <v>376</v>
      </c>
      <c r="G455" s="9" t="s">
        <v>440</v>
      </c>
      <c r="H455" s="21" t="n">
        <v>6</v>
      </c>
      <c r="I455" s="8" t="s">
        <v>288</v>
      </c>
      <c r="J455" s="8" t="s">
        <v>290</v>
      </c>
      <c r="K455" s="21" t="n">
        <v>12</v>
      </c>
      <c r="L455" s="21" t="n">
        <v>17</v>
      </c>
      <c r="M455" s="10" t="n">
        <v>18000000</v>
      </c>
      <c r="N455" s="10" t="n">
        <v>0</v>
      </c>
      <c r="O455" s="11" t="n">
        <f aca="false">ROUND((M455+N455)*0.18,0)</f>
        <v>3240000</v>
      </c>
      <c r="P455" s="11" t="n">
        <f aca="false">M455+N455+O455</f>
        <v>21240000</v>
      </c>
      <c r="Q455" s="9" t="s">
        <v>888</v>
      </c>
      <c r="R455" s="8" t="s">
        <v>303</v>
      </c>
      <c r="S455" s="8" t="s">
        <v>293</v>
      </c>
    </row>
    <row r="456" customFormat="false" ht="15" hidden="false" customHeight="false" outlineLevel="0" collapsed="false">
      <c r="B456" s="8" t="s">
        <v>214</v>
      </c>
      <c r="C456" s="8" t="s">
        <v>297</v>
      </c>
      <c r="D456" s="9" t="s">
        <v>482</v>
      </c>
      <c r="E456" s="8" t="s">
        <v>299</v>
      </c>
      <c r="F456" s="8" t="s">
        <v>300</v>
      </c>
      <c r="G456" s="9" t="s">
        <v>442</v>
      </c>
      <c r="H456" s="21" t="n">
        <v>5</v>
      </c>
      <c r="I456" s="8" t="s">
        <v>288</v>
      </c>
      <c r="J456" s="8" t="s">
        <v>294</v>
      </c>
      <c r="K456" s="21" t="n">
        <v>20</v>
      </c>
      <c r="L456" s="21" t="n">
        <v>24</v>
      </c>
      <c r="M456" s="10" t="n">
        <v>45000000</v>
      </c>
      <c r="N456" s="10" t="n">
        <v>0</v>
      </c>
      <c r="O456" s="11" t="n">
        <f aca="false">ROUND((M456+N456)*0.18,0)</f>
        <v>8100000</v>
      </c>
      <c r="P456" s="11" t="n">
        <f aca="false">M456+N456+O456</f>
        <v>53100000</v>
      </c>
      <c r="Q456" s="9" t="s">
        <v>888</v>
      </c>
      <c r="R456" s="8" t="s">
        <v>303</v>
      </c>
      <c r="S456" s="8" t="s">
        <v>293</v>
      </c>
    </row>
    <row r="457" customFormat="false" ht="15" hidden="false" customHeight="false" outlineLevel="0" collapsed="false">
      <c r="B457" s="8" t="s">
        <v>214</v>
      </c>
      <c r="C457" s="8" t="s">
        <v>297</v>
      </c>
      <c r="D457" s="9" t="s">
        <v>482</v>
      </c>
      <c r="E457" s="8" t="s">
        <v>299</v>
      </c>
      <c r="F457" s="8" t="s">
        <v>304</v>
      </c>
      <c r="G457" s="9" t="s">
        <v>483</v>
      </c>
      <c r="H457" s="21" t="n">
        <v>6</v>
      </c>
      <c r="I457" s="8" t="s">
        <v>288</v>
      </c>
      <c r="J457" s="8" t="s">
        <v>300</v>
      </c>
      <c r="K457" s="21" t="n">
        <v>25</v>
      </c>
      <c r="L457" s="21" t="n">
        <v>30</v>
      </c>
      <c r="M457" s="10" t="n">
        <v>45000000</v>
      </c>
      <c r="N457" s="10" t="n">
        <v>0</v>
      </c>
      <c r="O457" s="11" t="n">
        <f aca="false">ROUND((M457+N457)*0.18,0)</f>
        <v>8100000</v>
      </c>
      <c r="P457" s="11" t="n">
        <f aca="false">M457+N457+O457</f>
        <v>53100000</v>
      </c>
      <c r="Q457" s="9" t="s">
        <v>888</v>
      </c>
      <c r="R457" s="8" t="s">
        <v>303</v>
      </c>
      <c r="S457" s="8" t="s">
        <v>293</v>
      </c>
    </row>
    <row r="458" customFormat="false" ht="15" hidden="false" customHeight="false" outlineLevel="0" collapsed="false">
      <c r="B458" s="8" t="s">
        <v>214</v>
      </c>
      <c r="C458" s="8" t="s">
        <v>297</v>
      </c>
      <c r="D458" s="9" t="s">
        <v>482</v>
      </c>
      <c r="E458" s="8" t="s">
        <v>299</v>
      </c>
      <c r="F458" s="8" t="s">
        <v>307</v>
      </c>
      <c r="G458" s="9" t="s">
        <v>484</v>
      </c>
      <c r="H458" s="21" t="n">
        <v>6</v>
      </c>
      <c r="I458" s="8" t="s">
        <v>384</v>
      </c>
      <c r="J458" s="8" t="s">
        <v>304</v>
      </c>
      <c r="K458" s="21" t="n">
        <v>25</v>
      </c>
      <c r="L458" s="21" t="n">
        <v>30</v>
      </c>
      <c r="M458" s="10" t="n">
        <v>45000000</v>
      </c>
      <c r="N458" s="10" t="n">
        <v>0</v>
      </c>
      <c r="O458" s="11" t="n">
        <f aca="false">ROUND((M458+N458)*0.18,0)</f>
        <v>8100000</v>
      </c>
      <c r="P458" s="11" t="n">
        <f aca="false">M458+N458+O458</f>
        <v>53100000</v>
      </c>
      <c r="Q458" s="9" t="s">
        <v>888</v>
      </c>
      <c r="R458" s="8" t="s">
        <v>303</v>
      </c>
      <c r="S458" s="8" t="s">
        <v>293</v>
      </c>
    </row>
    <row r="459" customFormat="false" ht="15" hidden="false" customHeight="false" outlineLevel="0" collapsed="false">
      <c r="B459" s="8" t="s">
        <v>214</v>
      </c>
      <c r="C459" s="8" t="s">
        <v>297</v>
      </c>
      <c r="D459" s="9" t="s">
        <v>482</v>
      </c>
      <c r="E459" s="8" t="s">
        <v>299</v>
      </c>
      <c r="F459" s="8" t="s">
        <v>445</v>
      </c>
      <c r="G459" s="9" t="s">
        <v>485</v>
      </c>
      <c r="H459" s="21" t="n">
        <v>4</v>
      </c>
      <c r="I459" s="8" t="s">
        <v>288</v>
      </c>
      <c r="J459" s="8" t="s">
        <v>300</v>
      </c>
      <c r="K459" s="21" t="n">
        <v>25</v>
      </c>
      <c r="L459" s="21" t="n">
        <v>28</v>
      </c>
      <c r="M459" s="10" t="n">
        <v>45000000</v>
      </c>
      <c r="N459" s="10" t="n">
        <v>0</v>
      </c>
      <c r="O459" s="11" t="n">
        <f aca="false">ROUND((M459+N459)*0.18,0)</f>
        <v>8100000</v>
      </c>
      <c r="P459" s="11" t="n">
        <f aca="false">M459+N459+O459</f>
        <v>53100000</v>
      </c>
      <c r="Q459" s="9" t="s">
        <v>888</v>
      </c>
      <c r="R459" s="8" t="s">
        <v>303</v>
      </c>
      <c r="S459" s="8" t="s">
        <v>293</v>
      </c>
    </row>
    <row r="460" customFormat="false" ht="15" hidden="false" customHeight="false" outlineLevel="0" collapsed="false">
      <c r="B460" s="8" t="s">
        <v>214</v>
      </c>
      <c r="C460" s="8" t="s">
        <v>297</v>
      </c>
      <c r="D460" s="9" t="s">
        <v>482</v>
      </c>
      <c r="E460" s="8" t="s">
        <v>299</v>
      </c>
      <c r="F460" s="8" t="s">
        <v>486</v>
      </c>
      <c r="G460" s="9" t="s">
        <v>487</v>
      </c>
      <c r="H460" s="21" t="n">
        <v>3</v>
      </c>
      <c r="I460" s="8" t="s">
        <v>288</v>
      </c>
      <c r="J460" s="8" t="s">
        <v>445</v>
      </c>
      <c r="K460" s="21" t="n">
        <v>29</v>
      </c>
      <c r="L460" s="21" t="n">
        <v>31</v>
      </c>
      <c r="M460" s="10" t="n">
        <v>45000000</v>
      </c>
      <c r="N460" s="10" t="n">
        <v>0</v>
      </c>
      <c r="O460" s="11" t="n">
        <f aca="false">ROUND((M460+N460)*0.18,0)</f>
        <v>8100000</v>
      </c>
      <c r="P460" s="11" t="n">
        <f aca="false">M460+N460+O460</f>
        <v>53100000</v>
      </c>
      <c r="Q460" s="9" t="s">
        <v>888</v>
      </c>
      <c r="R460" s="8" t="s">
        <v>303</v>
      </c>
      <c r="S460" s="8" t="s">
        <v>293</v>
      </c>
    </row>
    <row r="461" customFormat="false" ht="15" hidden="false" customHeight="false" outlineLevel="0" collapsed="false">
      <c r="B461" s="8" t="s">
        <v>214</v>
      </c>
      <c r="C461" s="8" t="s">
        <v>297</v>
      </c>
      <c r="D461" s="9" t="s">
        <v>482</v>
      </c>
      <c r="E461" s="8" t="s">
        <v>299</v>
      </c>
      <c r="F461" s="8" t="s">
        <v>488</v>
      </c>
      <c r="G461" s="9" t="s">
        <v>489</v>
      </c>
      <c r="H461" s="21" t="n">
        <v>4</v>
      </c>
      <c r="I461" s="8" t="s">
        <v>384</v>
      </c>
      <c r="J461" s="8" t="s">
        <v>304</v>
      </c>
      <c r="K461" s="21" t="n">
        <v>25</v>
      </c>
      <c r="L461" s="21" t="n">
        <v>28</v>
      </c>
      <c r="M461" s="10" t="n">
        <v>45000000</v>
      </c>
      <c r="N461" s="10" t="n">
        <v>0</v>
      </c>
      <c r="O461" s="11" t="n">
        <f aca="false">ROUND((M461+N461)*0.18,0)</f>
        <v>8100000</v>
      </c>
      <c r="P461" s="11" t="n">
        <f aca="false">M461+N461+O461</f>
        <v>53100000</v>
      </c>
      <c r="Q461" s="9" t="s">
        <v>888</v>
      </c>
      <c r="R461" s="8" t="s">
        <v>303</v>
      </c>
      <c r="S461" s="8" t="s">
        <v>293</v>
      </c>
    </row>
    <row r="462" customFormat="false" ht="15" hidden="false" customHeight="false" outlineLevel="0" collapsed="false">
      <c r="B462" s="8" t="s">
        <v>214</v>
      </c>
      <c r="C462" s="8" t="s">
        <v>310</v>
      </c>
      <c r="D462" s="9" t="s">
        <v>490</v>
      </c>
      <c r="E462" s="8" t="s">
        <v>299</v>
      </c>
      <c r="F462" s="8" t="s">
        <v>312</v>
      </c>
      <c r="G462" s="9" t="s">
        <v>491</v>
      </c>
      <c r="H462" s="21" t="n">
        <v>4</v>
      </c>
      <c r="I462" s="8" t="s">
        <v>288</v>
      </c>
      <c r="J462" s="8" t="s">
        <v>300</v>
      </c>
      <c r="K462" s="21" t="n">
        <v>25</v>
      </c>
      <c r="L462" s="21" t="n">
        <v>28</v>
      </c>
      <c r="M462" s="10" t="n">
        <v>127500000</v>
      </c>
      <c r="N462" s="10" t="n">
        <v>0</v>
      </c>
      <c r="O462" s="11" t="n">
        <f aca="false">ROUND((M462+N462)*0.18,0)</f>
        <v>22950000</v>
      </c>
      <c r="P462" s="11" t="n">
        <f aca="false">M462+N462+O462</f>
        <v>150450000</v>
      </c>
      <c r="Q462" s="9" t="s">
        <v>888</v>
      </c>
      <c r="R462" s="8" t="s">
        <v>303</v>
      </c>
      <c r="S462" s="8" t="s">
        <v>293</v>
      </c>
    </row>
    <row r="463" customFormat="false" ht="15" hidden="false" customHeight="false" outlineLevel="0" collapsed="false">
      <c r="B463" s="8" t="s">
        <v>214</v>
      </c>
      <c r="C463" s="8" t="s">
        <v>310</v>
      </c>
      <c r="D463" s="9" t="s">
        <v>490</v>
      </c>
      <c r="E463" s="8" t="s">
        <v>299</v>
      </c>
      <c r="F463" s="8" t="s">
        <v>315</v>
      </c>
      <c r="G463" s="9" t="s">
        <v>492</v>
      </c>
      <c r="H463" s="21" t="n">
        <v>6</v>
      </c>
      <c r="I463" s="8" t="s">
        <v>288</v>
      </c>
      <c r="J463" s="8" t="s">
        <v>312</v>
      </c>
      <c r="K463" s="21" t="n">
        <v>29</v>
      </c>
      <c r="L463" s="21" t="n">
        <v>34</v>
      </c>
      <c r="M463" s="10" t="n">
        <v>127500000</v>
      </c>
      <c r="N463" s="10" t="n">
        <v>0</v>
      </c>
      <c r="O463" s="11" t="n">
        <f aca="false">ROUND((M463+N463)*0.18,0)</f>
        <v>22950000</v>
      </c>
      <c r="P463" s="11" t="n">
        <f aca="false">M463+N463+O463</f>
        <v>150450000</v>
      </c>
      <c r="Q463" s="9" t="s">
        <v>888</v>
      </c>
      <c r="R463" s="8" t="s">
        <v>303</v>
      </c>
      <c r="S463" s="8" t="s">
        <v>293</v>
      </c>
    </row>
    <row r="464" customFormat="false" ht="15" hidden="false" customHeight="false" outlineLevel="0" collapsed="false">
      <c r="B464" s="8" t="s">
        <v>214</v>
      </c>
      <c r="C464" s="8" t="s">
        <v>310</v>
      </c>
      <c r="D464" s="9" t="s">
        <v>490</v>
      </c>
      <c r="E464" s="8" t="s">
        <v>299</v>
      </c>
      <c r="F464" s="8" t="s">
        <v>318</v>
      </c>
      <c r="G464" s="9" t="s">
        <v>493</v>
      </c>
      <c r="H464" s="21" t="n">
        <v>6</v>
      </c>
      <c r="I464" s="8" t="s">
        <v>288</v>
      </c>
      <c r="J464" s="8" t="s">
        <v>315</v>
      </c>
      <c r="K464" s="21" t="n">
        <v>35</v>
      </c>
      <c r="L464" s="21" t="n">
        <v>40</v>
      </c>
      <c r="M464" s="10" t="n">
        <v>127500000</v>
      </c>
      <c r="N464" s="10" t="n">
        <v>0</v>
      </c>
      <c r="O464" s="11" t="n">
        <f aca="false">ROUND((M464+N464)*0.18,0)</f>
        <v>22950000</v>
      </c>
      <c r="P464" s="11" t="n">
        <f aca="false">M464+N464+O464</f>
        <v>150450000</v>
      </c>
      <c r="Q464" s="9" t="s">
        <v>888</v>
      </c>
      <c r="R464" s="8" t="s">
        <v>303</v>
      </c>
      <c r="S464" s="8" t="s">
        <v>293</v>
      </c>
    </row>
    <row r="465" customFormat="false" ht="15" hidden="false" customHeight="false" outlineLevel="0" collapsed="false">
      <c r="B465" s="8" t="s">
        <v>214</v>
      </c>
      <c r="C465" s="8" t="s">
        <v>310</v>
      </c>
      <c r="D465" s="9" t="s">
        <v>490</v>
      </c>
      <c r="E465" s="8" t="s">
        <v>299</v>
      </c>
      <c r="F465" s="8" t="s">
        <v>451</v>
      </c>
      <c r="G465" s="9" t="s">
        <v>494</v>
      </c>
      <c r="H465" s="21" t="n">
        <v>10</v>
      </c>
      <c r="I465" s="8" t="s">
        <v>288</v>
      </c>
      <c r="J465" s="8" t="s">
        <v>318</v>
      </c>
      <c r="K465" s="21" t="n">
        <v>41</v>
      </c>
      <c r="L465" s="21" t="n">
        <v>50</v>
      </c>
      <c r="M465" s="10" t="n">
        <v>127500000</v>
      </c>
      <c r="N465" s="10" t="n">
        <v>0</v>
      </c>
      <c r="O465" s="11" t="n">
        <f aca="false">ROUND((M465+N465)*0.18,0)</f>
        <v>22950000</v>
      </c>
      <c r="P465" s="11" t="n">
        <f aca="false">M465+N465+O465</f>
        <v>150450000</v>
      </c>
      <c r="Q465" s="9" t="s">
        <v>888</v>
      </c>
      <c r="R465" s="8" t="s">
        <v>303</v>
      </c>
      <c r="S465" s="8" t="s">
        <v>293</v>
      </c>
    </row>
    <row r="466" customFormat="false" ht="15" hidden="false" customHeight="false" outlineLevel="0" collapsed="false">
      <c r="B466" s="8" t="s">
        <v>214</v>
      </c>
      <c r="C466" s="8" t="s">
        <v>320</v>
      </c>
      <c r="D466" s="9" t="s">
        <v>495</v>
      </c>
      <c r="E466" s="8" t="s">
        <v>454</v>
      </c>
      <c r="F466" s="8" t="s">
        <v>323</v>
      </c>
      <c r="G466" s="9" t="s">
        <v>455</v>
      </c>
      <c r="H466" s="21" t="n">
        <v>5</v>
      </c>
      <c r="I466" s="8" t="s">
        <v>288</v>
      </c>
      <c r="J466" s="8" t="s">
        <v>315</v>
      </c>
      <c r="K466" s="21" t="n">
        <v>35</v>
      </c>
      <c r="L466" s="21" t="n">
        <v>39</v>
      </c>
      <c r="M466" s="10" t="n">
        <v>24000000</v>
      </c>
      <c r="N466" s="10" t="n">
        <v>4050000</v>
      </c>
      <c r="O466" s="11" t="n">
        <f aca="false">ROUND((M466+N466)*0.18,0)</f>
        <v>5049000</v>
      </c>
      <c r="P466" s="11" t="n">
        <f aca="false">M466+N466+O466</f>
        <v>33099000</v>
      </c>
      <c r="Q466" s="9" t="s">
        <v>888</v>
      </c>
      <c r="R466" s="8" t="s">
        <v>303</v>
      </c>
      <c r="S466" s="8" t="s">
        <v>293</v>
      </c>
    </row>
    <row r="467" customFormat="false" ht="15" hidden="false" customHeight="false" outlineLevel="0" collapsed="false">
      <c r="B467" s="8" t="s">
        <v>214</v>
      </c>
      <c r="C467" s="8" t="s">
        <v>320</v>
      </c>
      <c r="D467" s="9" t="s">
        <v>495</v>
      </c>
      <c r="E467" s="8" t="s">
        <v>454</v>
      </c>
      <c r="F467" s="8" t="s">
        <v>326</v>
      </c>
      <c r="G467" s="9" t="s">
        <v>456</v>
      </c>
      <c r="H467" s="21" t="n">
        <v>2</v>
      </c>
      <c r="I467" s="8" t="s">
        <v>288</v>
      </c>
      <c r="J467" s="8" t="s">
        <v>323</v>
      </c>
      <c r="K467" s="21" t="n">
        <v>40</v>
      </c>
      <c r="L467" s="21" t="n">
        <v>41</v>
      </c>
      <c r="M467" s="10" t="n">
        <v>24000000</v>
      </c>
      <c r="N467" s="10" t="n">
        <v>4050000</v>
      </c>
      <c r="O467" s="11" t="n">
        <f aca="false">ROUND((M467+N467)*0.18,0)</f>
        <v>5049000</v>
      </c>
      <c r="P467" s="11" t="n">
        <f aca="false">M467+N467+O467</f>
        <v>33099000</v>
      </c>
      <c r="Q467" s="9" t="s">
        <v>888</v>
      </c>
      <c r="R467" s="8" t="s">
        <v>303</v>
      </c>
      <c r="S467" s="8" t="s">
        <v>293</v>
      </c>
    </row>
    <row r="468" customFormat="false" ht="15" hidden="false" customHeight="false" outlineLevel="0" collapsed="false">
      <c r="B468" s="8" t="s">
        <v>214</v>
      </c>
      <c r="C468" s="8" t="s">
        <v>320</v>
      </c>
      <c r="D468" s="9" t="s">
        <v>495</v>
      </c>
      <c r="E468" s="8" t="s">
        <v>454</v>
      </c>
      <c r="F468" s="8" t="s">
        <v>329</v>
      </c>
      <c r="G468" s="9" t="s">
        <v>400</v>
      </c>
      <c r="H468" s="21" t="n">
        <v>3</v>
      </c>
      <c r="I468" s="8" t="s">
        <v>384</v>
      </c>
      <c r="J468" s="8" t="s">
        <v>326</v>
      </c>
      <c r="K468" s="21" t="n">
        <v>40</v>
      </c>
      <c r="L468" s="21" t="n">
        <v>42</v>
      </c>
      <c r="M468" s="10" t="n">
        <v>24000000</v>
      </c>
      <c r="N468" s="10" t="n">
        <v>4050000</v>
      </c>
      <c r="O468" s="11" t="n">
        <f aca="false">ROUND((M468+N468)*0.18,0)</f>
        <v>5049000</v>
      </c>
      <c r="P468" s="11" t="n">
        <f aca="false">M468+N468+O468</f>
        <v>33099000</v>
      </c>
      <c r="Q468" s="9" t="s">
        <v>888</v>
      </c>
      <c r="R468" s="8" t="s">
        <v>303</v>
      </c>
      <c r="S468" s="8" t="s">
        <v>293</v>
      </c>
    </row>
    <row r="469" customFormat="false" ht="15" hidden="false" customHeight="false" outlineLevel="0" collapsed="false">
      <c r="B469" s="8" t="s">
        <v>214</v>
      </c>
      <c r="C469" s="8" t="s">
        <v>320</v>
      </c>
      <c r="D469" s="9" t="s">
        <v>495</v>
      </c>
      <c r="E469" s="8" t="s">
        <v>454</v>
      </c>
      <c r="F469" s="8" t="s">
        <v>332</v>
      </c>
      <c r="G469" s="9" t="s">
        <v>457</v>
      </c>
      <c r="H469" s="21" t="n">
        <v>3</v>
      </c>
      <c r="I469" s="8" t="s">
        <v>288</v>
      </c>
      <c r="J469" s="8" t="s">
        <v>326</v>
      </c>
      <c r="K469" s="21" t="n">
        <v>42</v>
      </c>
      <c r="L469" s="21" t="n">
        <v>44</v>
      </c>
      <c r="M469" s="10" t="n">
        <v>24000000</v>
      </c>
      <c r="N469" s="10" t="n">
        <v>4050000</v>
      </c>
      <c r="O469" s="11" t="n">
        <f aca="false">ROUND((M469+N469)*0.18,0)</f>
        <v>5049000</v>
      </c>
      <c r="P469" s="11" t="n">
        <f aca="false">M469+N469+O469</f>
        <v>33099000</v>
      </c>
      <c r="Q469" s="9" t="s">
        <v>888</v>
      </c>
      <c r="R469" s="8" t="s">
        <v>303</v>
      </c>
      <c r="S469" s="8" t="s">
        <v>293</v>
      </c>
    </row>
    <row r="470" customFormat="false" ht="15" hidden="false" customHeight="false" outlineLevel="0" collapsed="false">
      <c r="B470" s="8" t="s">
        <v>214</v>
      </c>
      <c r="C470" s="8" t="s">
        <v>320</v>
      </c>
      <c r="D470" s="9" t="s">
        <v>495</v>
      </c>
      <c r="E470" s="8" t="s">
        <v>454</v>
      </c>
      <c r="F470" s="8" t="s">
        <v>458</v>
      </c>
      <c r="G470" s="9" t="s">
        <v>496</v>
      </c>
      <c r="H470" s="21" t="n">
        <v>2</v>
      </c>
      <c r="I470" s="8" t="s">
        <v>288</v>
      </c>
      <c r="J470" s="8" t="s">
        <v>332</v>
      </c>
      <c r="K470" s="21" t="n">
        <v>45</v>
      </c>
      <c r="L470" s="21" t="n">
        <v>46</v>
      </c>
      <c r="M470" s="10" t="n">
        <v>24000000</v>
      </c>
      <c r="N470" s="10" t="n">
        <v>4050000</v>
      </c>
      <c r="O470" s="11" t="n">
        <f aca="false">ROUND((M470+N470)*0.18,0)</f>
        <v>5049000</v>
      </c>
      <c r="P470" s="11" t="n">
        <f aca="false">M470+N470+O470</f>
        <v>33099000</v>
      </c>
      <c r="Q470" s="9" t="s">
        <v>888</v>
      </c>
      <c r="R470" s="8" t="s">
        <v>303</v>
      </c>
      <c r="S470" s="8" t="s">
        <v>293</v>
      </c>
    </row>
    <row r="471" customFormat="false" ht="15" hidden="false" customHeight="false" outlineLevel="0" collapsed="false">
      <c r="B471" s="8" t="s">
        <v>214</v>
      </c>
      <c r="C471" s="8" t="s">
        <v>335</v>
      </c>
      <c r="D471" s="9" t="s">
        <v>497</v>
      </c>
      <c r="E471" s="8" t="s">
        <v>454</v>
      </c>
      <c r="F471" s="8" t="s">
        <v>337</v>
      </c>
      <c r="G471" s="9" t="s">
        <v>455</v>
      </c>
      <c r="H471" s="21" t="n">
        <v>7</v>
      </c>
      <c r="I471" s="8" t="s">
        <v>288</v>
      </c>
      <c r="J471" s="8" t="s">
        <v>451</v>
      </c>
      <c r="K471" s="21" t="n">
        <v>51</v>
      </c>
      <c r="L471" s="21" t="n">
        <v>57</v>
      </c>
      <c r="M471" s="10" t="n">
        <v>55000000</v>
      </c>
      <c r="N471" s="10" t="n">
        <v>9125000</v>
      </c>
      <c r="O471" s="11" t="n">
        <f aca="false">ROUND((M471+N471)*0.18,0)</f>
        <v>11542500</v>
      </c>
      <c r="P471" s="11" t="n">
        <f aca="false">M471+N471+O471</f>
        <v>75667500</v>
      </c>
      <c r="Q471" s="9" t="s">
        <v>888</v>
      </c>
      <c r="R471" s="8" t="s">
        <v>303</v>
      </c>
      <c r="S471" s="8" t="s">
        <v>293</v>
      </c>
    </row>
    <row r="472" customFormat="false" ht="15" hidden="false" customHeight="false" outlineLevel="0" collapsed="false">
      <c r="B472" s="8" t="s">
        <v>214</v>
      </c>
      <c r="C472" s="8" t="s">
        <v>335</v>
      </c>
      <c r="D472" s="9" t="s">
        <v>497</v>
      </c>
      <c r="E472" s="8" t="s">
        <v>454</v>
      </c>
      <c r="F472" s="8" t="s">
        <v>340</v>
      </c>
      <c r="G472" s="9" t="s">
        <v>400</v>
      </c>
      <c r="H472" s="21" t="n">
        <v>4</v>
      </c>
      <c r="I472" s="8" t="s">
        <v>288</v>
      </c>
      <c r="J472" s="8" t="s">
        <v>337</v>
      </c>
      <c r="K472" s="21" t="n">
        <v>58</v>
      </c>
      <c r="L472" s="21" t="n">
        <v>61</v>
      </c>
      <c r="M472" s="10" t="n">
        <v>55000000</v>
      </c>
      <c r="N472" s="10" t="n">
        <v>9125000</v>
      </c>
      <c r="O472" s="11" t="n">
        <f aca="false">ROUND((M472+N472)*0.18,0)</f>
        <v>11542500</v>
      </c>
      <c r="P472" s="11" t="n">
        <f aca="false">M472+N472+O472</f>
        <v>75667500</v>
      </c>
      <c r="Q472" s="9" t="s">
        <v>888</v>
      </c>
      <c r="R472" s="8" t="s">
        <v>303</v>
      </c>
      <c r="S472" s="8" t="s">
        <v>293</v>
      </c>
    </row>
    <row r="473" customFormat="false" ht="15" hidden="false" customHeight="false" outlineLevel="0" collapsed="false">
      <c r="B473" s="8" t="s">
        <v>214</v>
      </c>
      <c r="C473" s="8" t="s">
        <v>335</v>
      </c>
      <c r="D473" s="9" t="s">
        <v>497</v>
      </c>
      <c r="E473" s="8" t="s">
        <v>454</v>
      </c>
      <c r="F473" s="8" t="s">
        <v>341</v>
      </c>
      <c r="G473" s="9" t="s">
        <v>457</v>
      </c>
      <c r="H473" s="21" t="n">
        <v>4</v>
      </c>
      <c r="I473" s="8" t="s">
        <v>384</v>
      </c>
      <c r="J473" s="8" t="s">
        <v>340</v>
      </c>
      <c r="K473" s="21" t="n">
        <v>58</v>
      </c>
      <c r="L473" s="21" t="n">
        <v>61</v>
      </c>
      <c r="M473" s="10" t="n">
        <v>55000000</v>
      </c>
      <c r="N473" s="10" t="n">
        <v>9125000</v>
      </c>
      <c r="O473" s="11" t="n">
        <f aca="false">ROUND((M473+N473)*0.18,0)</f>
        <v>11542500</v>
      </c>
      <c r="P473" s="11" t="n">
        <f aca="false">M473+N473+O473</f>
        <v>75667500</v>
      </c>
      <c r="Q473" s="9" t="s">
        <v>888</v>
      </c>
      <c r="R473" s="8" t="s">
        <v>303</v>
      </c>
      <c r="S473" s="8" t="s">
        <v>293</v>
      </c>
    </row>
    <row r="474" customFormat="false" ht="15" hidden="false" customHeight="false" outlineLevel="0" collapsed="false">
      <c r="B474" s="8" t="s">
        <v>214</v>
      </c>
      <c r="C474" s="8" t="s">
        <v>335</v>
      </c>
      <c r="D474" s="9" t="s">
        <v>497</v>
      </c>
      <c r="E474" s="8" t="s">
        <v>454</v>
      </c>
      <c r="F474" s="8" t="s">
        <v>461</v>
      </c>
      <c r="G474" s="9" t="s">
        <v>462</v>
      </c>
      <c r="H474" s="21" t="n">
        <v>5</v>
      </c>
      <c r="I474" s="8" t="s">
        <v>288</v>
      </c>
      <c r="J474" s="8" t="s">
        <v>340</v>
      </c>
      <c r="K474" s="21" t="n">
        <v>62</v>
      </c>
      <c r="L474" s="21" t="n">
        <v>66</v>
      </c>
      <c r="M474" s="10" t="n">
        <v>55000000</v>
      </c>
      <c r="N474" s="10" t="n">
        <v>9125000</v>
      </c>
      <c r="O474" s="11" t="n">
        <f aca="false">ROUND((M474+N474)*0.18,0)</f>
        <v>11542500</v>
      </c>
      <c r="P474" s="11" t="n">
        <f aca="false">M474+N474+O474</f>
        <v>75667500</v>
      </c>
      <c r="Q474" s="9" t="s">
        <v>888</v>
      </c>
      <c r="R474" s="8" t="s">
        <v>303</v>
      </c>
      <c r="S474" s="8" t="s">
        <v>293</v>
      </c>
    </row>
    <row r="475" customFormat="false" ht="15" hidden="false" customHeight="false" outlineLevel="0" collapsed="false">
      <c r="B475" s="8" t="s">
        <v>214</v>
      </c>
      <c r="C475" s="8" t="s">
        <v>335</v>
      </c>
      <c r="D475" s="9" t="s">
        <v>497</v>
      </c>
      <c r="E475" s="8" t="s">
        <v>454</v>
      </c>
      <c r="F475" s="8" t="s">
        <v>463</v>
      </c>
      <c r="G475" s="9" t="s">
        <v>464</v>
      </c>
      <c r="H475" s="21" t="n">
        <v>4</v>
      </c>
      <c r="I475" s="8" t="s">
        <v>288</v>
      </c>
      <c r="J475" s="8" t="s">
        <v>461</v>
      </c>
      <c r="K475" s="21" t="n">
        <v>67</v>
      </c>
      <c r="L475" s="21" t="n">
        <v>70</v>
      </c>
      <c r="M475" s="10" t="n">
        <v>55000000</v>
      </c>
      <c r="N475" s="10" t="n">
        <v>9125000</v>
      </c>
      <c r="O475" s="11" t="n">
        <f aca="false">ROUND((M475+N475)*0.18,0)</f>
        <v>11542500</v>
      </c>
      <c r="P475" s="11" t="n">
        <f aca="false">M475+N475+O475</f>
        <v>75667500</v>
      </c>
      <c r="Q475" s="9" t="s">
        <v>888</v>
      </c>
      <c r="R475" s="8" t="s">
        <v>303</v>
      </c>
      <c r="S475" s="8" t="s">
        <v>293</v>
      </c>
    </row>
    <row r="476" customFormat="false" ht="15" hidden="false" customHeight="false" outlineLevel="0" collapsed="false">
      <c r="B476" s="8" t="s">
        <v>214</v>
      </c>
      <c r="C476" s="8" t="s">
        <v>335</v>
      </c>
      <c r="D476" s="9" t="s">
        <v>497</v>
      </c>
      <c r="E476" s="8" t="s">
        <v>454</v>
      </c>
      <c r="F476" s="8" t="s">
        <v>465</v>
      </c>
      <c r="G476" s="9" t="s">
        <v>498</v>
      </c>
      <c r="H476" s="21" t="n">
        <v>3</v>
      </c>
      <c r="I476" s="8" t="s">
        <v>288</v>
      </c>
      <c r="J476" s="8" t="s">
        <v>463</v>
      </c>
      <c r="K476" s="21" t="n">
        <v>71</v>
      </c>
      <c r="L476" s="21" t="n">
        <v>73</v>
      </c>
      <c r="M476" s="10" t="n">
        <v>55000000</v>
      </c>
      <c r="N476" s="10" t="n">
        <v>9125000</v>
      </c>
      <c r="O476" s="11" t="n">
        <f aca="false">ROUND((M476+N476)*0.18,0)</f>
        <v>11542500</v>
      </c>
      <c r="P476" s="11" t="n">
        <f aca="false">M476+N476+O476</f>
        <v>75667500</v>
      </c>
      <c r="Q476" s="9" t="s">
        <v>888</v>
      </c>
      <c r="R476" s="8" t="s">
        <v>303</v>
      </c>
      <c r="S476" s="8" t="s">
        <v>293</v>
      </c>
    </row>
    <row r="477" customFormat="false" ht="15" hidden="false" customHeight="false" outlineLevel="0" collapsed="false">
      <c r="B477" s="8" t="s">
        <v>214</v>
      </c>
      <c r="C477" s="8" t="s">
        <v>343</v>
      </c>
      <c r="D477" s="9" t="s">
        <v>467</v>
      </c>
      <c r="E477" s="8" t="s">
        <v>361</v>
      </c>
      <c r="F477" s="8" t="s">
        <v>346</v>
      </c>
      <c r="G477" s="9" t="s">
        <v>468</v>
      </c>
      <c r="H477" s="21" t="n">
        <v>4</v>
      </c>
      <c r="I477" s="8" t="s">
        <v>288</v>
      </c>
      <c r="J477" s="8" t="s">
        <v>486</v>
      </c>
      <c r="K477" s="21" t="n">
        <v>32</v>
      </c>
      <c r="L477" s="21" t="n">
        <v>35</v>
      </c>
      <c r="M477" s="10" t="n">
        <v>24000000</v>
      </c>
      <c r="N477" s="10" t="n">
        <v>0</v>
      </c>
      <c r="O477" s="11" t="n">
        <f aca="false">ROUND((M477+N477)*0.18,0)</f>
        <v>4320000</v>
      </c>
      <c r="P477" s="11" t="n">
        <f aca="false">M477+N477+O477</f>
        <v>28320000</v>
      </c>
      <c r="Q477" s="9" t="s">
        <v>888</v>
      </c>
      <c r="R477" s="8" t="s">
        <v>303</v>
      </c>
      <c r="S477" s="8" t="s">
        <v>293</v>
      </c>
    </row>
    <row r="478" customFormat="false" ht="15" hidden="false" customHeight="false" outlineLevel="0" collapsed="false">
      <c r="B478" s="8" t="s">
        <v>214</v>
      </c>
      <c r="C478" s="8" t="s">
        <v>343</v>
      </c>
      <c r="D478" s="9" t="s">
        <v>467</v>
      </c>
      <c r="E478" s="8" t="s">
        <v>361</v>
      </c>
      <c r="F478" s="8" t="s">
        <v>348</v>
      </c>
      <c r="G478" s="9" t="s">
        <v>469</v>
      </c>
      <c r="H478" s="21" t="n">
        <v>4</v>
      </c>
      <c r="I478" s="8" t="s">
        <v>288</v>
      </c>
      <c r="J478" s="8" t="s">
        <v>486</v>
      </c>
      <c r="K478" s="21" t="n">
        <v>32</v>
      </c>
      <c r="L478" s="21" t="n">
        <v>35</v>
      </c>
      <c r="M478" s="10" t="n">
        <v>24000000</v>
      </c>
      <c r="N478" s="10" t="n">
        <v>0</v>
      </c>
      <c r="O478" s="11" t="n">
        <f aca="false">ROUND((M478+N478)*0.18,0)</f>
        <v>4320000</v>
      </c>
      <c r="P478" s="11" t="n">
        <f aca="false">M478+N478+O478</f>
        <v>28320000</v>
      </c>
      <c r="Q478" s="9" t="s">
        <v>888</v>
      </c>
      <c r="R478" s="8" t="s">
        <v>303</v>
      </c>
      <c r="S478" s="8" t="s">
        <v>293</v>
      </c>
    </row>
    <row r="479" customFormat="false" ht="15" hidden="false" customHeight="false" outlineLevel="0" collapsed="false">
      <c r="B479" s="8" t="s">
        <v>214</v>
      </c>
      <c r="C479" s="8" t="s">
        <v>343</v>
      </c>
      <c r="D479" s="9" t="s">
        <v>467</v>
      </c>
      <c r="E479" s="8" t="s">
        <v>361</v>
      </c>
      <c r="F479" s="8" t="s">
        <v>403</v>
      </c>
      <c r="G479" s="9" t="s">
        <v>499</v>
      </c>
      <c r="H479" s="21" t="n">
        <v>4</v>
      </c>
      <c r="I479" s="8" t="s">
        <v>384</v>
      </c>
      <c r="J479" s="8" t="s">
        <v>348</v>
      </c>
      <c r="K479" s="21" t="n">
        <v>32</v>
      </c>
      <c r="L479" s="21" t="n">
        <v>35</v>
      </c>
      <c r="M479" s="10" t="n">
        <v>24000000</v>
      </c>
      <c r="N479" s="10" t="n">
        <v>0</v>
      </c>
      <c r="O479" s="11" t="n">
        <f aca="false">ROUND((M479+N479)*0.18,0)</f>
        <v>4320000</v>
      </c>
      <c r="P479" s="11" t="n">
        <f aca="false">M479+N479+O479</f>
        <v>28320000</v>
      </c>
      <c r="Q479" s="9" t="s">
        <v>888</v>
      </c>
      <c r="R479" s="8" t="s">
        <v>303</v>
      </c>
      <c r="S479" s="8" t="s">
        <v>293</v>
      </c>
    </row>
    <row r="480" customFormat="false" ht="15" hidden="false" customHeight="false" outlineLevel="0" collapsed="false">
      <c r="B480" s="8" t="s">
        <v>214</v>
      </c>
      <c r="C480" s="8" t="s">
        <v>343</v>
      </c>
      <c r="D480" s="9" t="s">
        <v>467</v>
      </c>
      <c r="E480" s="8" t="s">
        <v>361</v>
      </c>
      <c r="F480" s="8" t="s">
        <v>471</v>
      </c>
      <c r="G480" s="9" t="s">
        <v>470</v>
      </c>
      <c r="H480" s="21" t="n">
        <v>3</v>
      </c>
      <c r="I480" s="8" t="s">
        <v>384</v>
      </c>
      <c r="J480" s="8" t="s">
        <v>346</v>
      </c>
      <c r="K480" s="21" t="n">
        <v>32</v>
      </c>
      <c r="L480" s="21" t="n">
        <v>34</v>
      </c>
      <c r="M480" s="10" t="n">
        <v>24000000</v>
      </c>
      <c r="N480" s="10" t="n">
        <v>0</v>
      </c>
      <c r="O480" s="11" t="n">
        <f aca="false">ROUND((M480+N480)*0.18,0)</f>
        <v>4320000</v>
      </c>
      <c r="P480" s="11" t="n">
        <f aca="false">M480+N480+O480</f>
        <v>28320000</v>
      </c>
      <c r="Q480" s="9" t="s">
        <v>888</v>
      </c>
      <c r="R480" s="8" t="s">
        <v>303</v>
      </c>
      <c r="S480" s="8" t="s">
        <v>293</v>
      </c>
    </row>
    <row r="481" customFormat="false" ht="15" hidden="false" customHeight="false" outlineLevel="0" collapsed="false">
      <c r="B481" s="8" t="s">
        <v>214</v>
      </c>
      <c r="C481" s="8" t="s">
        <v>343</v>
      </c>
      <c r="D481" s="9" t="s">
        <v>467</v>
      </c>
      <c r="E481" s="8" t="s">
        <v>361</v>
      </c>
      <c r="F481" s="8" t="s">
        <v>500</v>
      </c>
      <c r="G481" s="9" t="s">
        <v>501</v>
      </c>
      <c r="H481" s="21" t="n">
        <v>2</v>
      </c>
      <c r="I481" s="8" t="s">
        <v>288</v>
      </c>
      <c r="J481" s="8" t="s">
        <v>346</v>
      </c>
      <c r="K481" s="21" t="n">
        <v>36</v>
      </c>
      <c r="L481" s="21" t="n">
        <v>37</v>
      </c>
      <c r="M481" s="10" t="n">
        <v>24000000</v>
      </c>
      <c r="N481" s="10" t="n">
        <v>0</v>
      </c>
      <c r="O481" s="11" t="n">
        <f aca="false">ROUND((M481+N481)*0.18,0)</f>
        <v>4320000</v>
      </c>
      <c r="P481" s="11" t="n">
        <f aca="false">M481+N481+O481</f>
        <v>28320000</v>
      </c>
      <c r="Q481" s="9" t="s">
        <v>888</v>
      </c>
      <c r="R481" s="8" t="s">
        <v>303</v>
      </c>
      <c r="S481" s="8" t="s">
        <v>293</v>
      </c>
    </row>
    <row r="482" customFormat="false" ht="15" hidden="false" customHeight="false" outlineLevel="0" collapsed="false">
      <c r="B482" s="8" t="s">
        <v>214</v>
      </c>
      <c r="C482" s="8" t="s">
        <v>351</v>
      </c>
      <c r="D482" s="9" t="s">
        <v>473</v>
      </c>
      <c r="E482" s="8" t="s">
        <v>361</v>
      </c>
      <c r="F482" s="8" t="s">
        <v>353</v>
      </c>
      <c r="G482" s="9" t="s">
        <v>474</v>
      </c>
      <c r="H482" s="21" t="n">
        <v>3</v>
      </c>
      <c r="I482" s="8" t="s">
        <v>288</v>
      </c>
      <c r="J482" s="8" t="s">
        <v>465</v>
      </c>
      <c r="K482" s="21" t="n">
        <v>74</v>
      </c>
      <c r="L482" s="21" t="n">
        <v>76</v>
      </c>
      <c r="M482" s="10" t="n">
        <v>15000000</v>
      </c>
      <c r="N482" s="10" t="n">
        <v>0</v>
      </c>
      <c r="O482" s="11" t="n">
        <f aca="false">ROUND((M482+N482)*0.18,0)</f>
        <v>2700000</v>
      </c>
      <c r="P482" s="11" t="n">
        <f aca="false">M482+N482+O482</f>
        <v>17700000</v>
      </c>
      <c r="Q482" s="9" t="s">
        <v>888</v>
      </c>
      <c r="R482" s="8" t="s">
        <v>303</v>
      </c>
      <c r="S482" s="8" t="s">
        <v>293</v>
      </c>
    </row>
    <row r="483" customFormat="false" ht="15" hidden="false" customHeight="false" outlineLevel="0" collapsed="false">
      <c r="B483" s="8" t="s">
        <v>214</v>
      </c>
      <c r="C483" s="8" t="s">
        <v>351</v>
      </c>
      <c r="D483" s="9" t="s">
        <v>473</v>
      </c>
      <c r="E483" s="8" t="s">
        <v>361</v>
      </c>
      <c r="F483" s="8" t="s">
        <v>356</v>
      </c>
      <c r="G483" s="9" t="s">
        <v>502</v>
      </c>
      <c r="H483" s="21" t="n">
        <v>4</v>
      </c>
      <c r="I483" s="8" t="s">
        <v>288</v>
      </c>
      <c r="J483" s="8" t="s">
        <v>353</v>
      </c>
      <c r="K483" s="21" t="n">
        <v>77</v>
      </c>
      <c r="L483" s="21" t="n">
        <v>80</v>
      </c>
      <c r="M483" s="10" t="n">
        <v>15000000</v>
      </c>
      <c r="N483" s="10" t="n">
        <v>0</v>
      </c>
      <c r="O483" s="11" t="n">
        <f aca="false">ROUND((M483+N483)*0.18,0)</f>
        <v>2700000</v>
      </c>
      <c r="P483" s="11" t="n">
        <f aca="false">M483+N483+O483</f>
        <v>17700000</v>
      </c>
      <c r="Q483" s="9" t="s">
        <v>888</v>
      </c>
      <c r="R483" s="8" t="s">
        <v>303</v>
      </c>
      <c r="S483" s="8" t="s">
        <v>293</v>
      </c>
    </row>
    <row r="484" customFormat="false" ht="15" hidden="false" customHeight="false" outlineLevel="0" collapsed="false">
      <c r="B484" s="8" t="s">
        <v>214</v>
      </c>
      <c r="C484" s="8" t="s">
        <v>351</v>
      </c>
      <c r="D484" s="9" t="s">
        <v>473</v>
      </c>
      <c r="E484" s="8" t="s">
        <v>361</v>
      </c>
      <c r="F484" s="8" t="s">
        <v>408</v>
      </c>
      <c r="G484" s="9" t="s">
        <v>476</v>
      </c>
      <c r="H484" s="21" t="n">
        <v>3</v>
      </c>
      <c r="I484" s="8" t="s">
        <v>288</v>
      </c>
      <c r="J484" s="8" t="s">
        <v>356</v>
      </c>
      <c r="K484" s="21" t="n">
        <v>81</v>
      </c>
      <c r="L484" s="21" t="n">
        <v>83</v>
      </c>
      <c r="M484" s="10" t="n">
        <v>15000000</v>
      </c>
      <c r="N484" s="10" t="n">
        <v>0</v>
      </c>
      <c r="O484" s="11" t="n">
        <f aca="false">ROUND((M484+N484)*0.18,0)</f>
        <v>2700000</v>
      </c>
      <c r="P484" s="11" t="n">
        <f aca="false">M484+N484+O484</f>
        <v>17700000</v>
      </c>
      <c r="Q484" s="9" t="s">
        <v>888</v>
      </c>
      <c r="R484" s="8" t="s">
        <v>303</v>
      </c>
      <c r="S484" s="8" t="s">
        <v>293</v>
      </c>
    </row>
    <row r="485" customFormat="false" ht="15" hidden="false" customHeight="false" outlineLevel="0" collapsed="false">
      <c r="B485" s="8" t="s">
        <v>214</v>
      </c>
      <c r="C485" s="8" t="s">
        <v>351</v>
      </c>
      <c r="D485" s="9" t="s">
        <v>473</v>
      </c>
      <c r="E485" s="8" t="s">
        <v>361</v>
      </c>
      <c r="F485" s="8" t="s">
        <v>410</v>
      </c>
      <c r="G485" s="9" t="s">
        <v>477</v>
      </c>
      <c r="H485" s="21" t="n">
        <v>2</v>
      </c>
      <c r="I485" s="8" t="s">
        <v>288</v>
      </c>
      <c r="J485" s="8" t="s">
        <v>408</v>
      </c>
      <c r="K485" s="21" t="n">
        <v>84</v>
      </c>
      <c r="L485" s="21" t="n">
        <v>85</v>
      </c>
      <c r="M485" s="10" t="n">
        <v>15000000</v>
      </c>
      <c r="N485" s="10" t="n">
        <v>0</v>
      </c>
      <c r="O485" s="11" t="n">
        <f aca="false">ROUND((M485+N485)*0.18,0)</f>
        <v>2700000</v>
      </c>
      <c r="P485" s="11" t="n">
        <f aca="false">M485+N485+O485</f>
        <v>17700000</v>
      </c>
      <c r="Q485" s="9" t="s">
        <v>888</v>
      </c>
      <c r="R485" s="8" t="s">
        <v>303</v>
      </c>
      <c r="S485" s="8" t="s">
        <v>293</v>
      </c>
    </row>
    <row r="486" customFormat="false" ht="15" hidden="false" customHeight="false" outlineLevel="0" collapsed="false">
      <c r="B486" s="8" t="s">
        <v>217</v>
      </c>
      <c r="C486" s="8" t="s">
        <v>279</v>
      </c>
      <c r="D486" s="9" t="s">
        <v>478</v>
      </c>
      <c r="E486" s="8" t="s">
        <v>81</v>
      </c>
      <c r="F486" s="8" t="s">
        <v>281</v>
      </c>
      <c r="G486" s="9" t="s">
        <v>479</v>
      </c>
      <c r="H486" s="21" t="n">
        <v>5</v>
      </c>
      <c r="I486" s="8"/>
      <c r="J486" s="8"/>
      <c r="K486" s="21" t="n">
        <v>1</v>
      </c>
      <c r="L486" s="21" t="n">
        <v>5</v>
      </c>
      <c r="M486" s="10" t="n">
        <v>12000000</v>
      </c>
      <c r="N486" s="10" t="n">
        <v>0</v>
      </c>
      <c r="O486" s="11" t="n">
        <f aca="false">ROUND((M486+N486)*0.18,0)</f>
        <v>2160000</v>
      </c>
      <c r="P486" s="11" t="n">
        <f aca="false">M486+N486+O486</f>
        <v>14160000</v>
      </c>
      <c r="Q486" s="9" t="s">
        <v>889</v>
      </c>
      <c r="R486" s="8" t="s">
        <v>303</v>
      </c>
      <c r="S486" s="8" t="s">
        <v>293</v>
      </c>
    </row>
    <row r="487" customFormat="false" ht="15" hidden="false" customHeight="false" outlineLevel="0" collapsed="false">
      <c r="B487" s="8" t="s">
        <v>217</v>
      </c>
      <c r="C487" s="8" t="s">
        <v>279</v>
      </c>
      <c r="D487" s="9" t="s">
        <v>478</v>
      </c>
      <c r="E487" s="8" t="s">
        <v>81</v>
      </c>
      <c r="F487" s="8" t="s">
        <v>286</v>
      </c>
      <c r="G487" s="9" t="s">
        <v>480</v>
      </c>
      <c r="H487" s="21" t="n">
        <v>8</v>
      </c>
      <c r="I487" s="8" t="s">
        <v>288</v>
      </c>
      <c r="J487" s="8" t="s">
        <v>281</v>
      </c>
      <c r="K487" s="21" t="n">
        <v>6</v>
      </c>
      <c r="L487" s="21" t="n">
        <v>13</v>
      </c>
      <c r="M487" s="10" t="n">
        <v>12000000</v>
      </c>
      <c r="N487" s="10" t="n">
        <v>0</v>
      </c>
      <c r="O487" s="11" t="n">
        <f aca="false">ROUND((M487+N487)*0.18,0)</f>
        <v>2160000</v>
      </c>
      <c r="P487" s="11" t="n">
        <f aca="false">M487+N487+O487</f>
        <v>14160000</v>
      </c>
      <c r="Q487" s="9" t="s">
        <v>889</v>
      </c>
      <c r="R487" s="8" t="s">
        <v>303</v>
      </c>
      <c r="S487" s="8" t="s">
        <v>293</v>
      </c>
    </row>
    <row r="488" customFormat="false" ht="15" hidden="false" customHeight="false" outlineLevel="0" collapsed="false">
      <c r="B488" s="8" t="s">
        <v>217</v>
      </c>
      <c r="C488" s="8" t="s">
        <v>279</v>
      </c>
      <c r="D488" s="9" t="s">
        <v>478</v>
      </c>
      <c r="E488" s="8" t="s">
        <v>81</v>
      </c>
      <c r="F488" s="8" t="s">
        <v>290</v>
      </c>
      <c r="G488" s="9" t="s">
        <v>481</v>
      </c>
      <c r="H488" s="21" t="n">
        <v>4</v>
      </c>
      <c r="I488" s="8" t="s">
        <v>288</v>
      </c>
      <c r="J488" s="8" t="s">
        <v>281</v>
      </c>
      <c r="K488" s="21" t="n">
        <v>6</v>
      </c>
      <c r="L488" s="21" t="n">
        <v>9</v>
      </c>
      <c r="M488" s="10" t="n">
        <v>12000000</v>
      </c>
      <c r="N488" s="10" t="n">
        <v>0</v>
      </c>
      <c r="O488" s="11" t="n">
        <f aca="false">ROUND((M488+N488)*0.18,0)</f>
        <v>2160000</v>
      </c>
      <c r="P488" s="11" t="n">
        <f aca="false">M488+N488+O488</f>
        <v>14160000</v>
      </c>
      <c r="Q488" s="9" t="s">
        <v>889</v>
      </c>
      <c r="R488" s="8" t="s">
        <v>303</v>
      </c>
      <c r="S488" s="8" t="s">
        <v>293</v>
      </c>
    </row>
    <row r="489" customFormat="false" ht="15" hidden="false" customHeight="false" outlineLevel="0" collapsed="false">
      <c r="B489" s="8" t="s">
        <v>217</v>
      </c>
      <c r="C489" s="8" t="s">
        <v>279</v>
      </c>
      <c r="D489" s="9" t="s">
        <v>478</v>
      </c>
      <c r="E489" s="8" t="s">
        <v>81</v>
      </c>
      <c r="F489" s="8" t="s">
        <v>294</v>
      </c>
      <c r="G489" s="9" t="s">
        <v>439</v>
      </c>
      <c r="H489" s="21" t="n">
        <v>8</v>
      </c>
      <c r="I489" s="8" t="s">
        <v>288</v>
      </c>
      <c r="J489" s="8" t="s">
        <v>290</v>
      </c>
      <c r="K489" s="21" t="n">
        <v>10</v>
      </c>
      <c r="L489" s="21" t="n">
        <v>17</v>
      </c>
      <c r="M489" s="10" t="n">
        <v>12000000</v>
      </c>
      <c r="N489" s="10" t="n">
        <v>0</v>
      </c>
      <c r="O489" s="11" t="n">
        <f aca="false">ROUND((M489+N489)*0.18,0)</f>
        <v>2160000</v>
      </c>
      <c r="P489" s="11" t="n">
        <f aca="false">M489+N489+O489</f>
        <v>14160000</v>
      </c>
      <c r="Q489" s="9" t="s">
        <v>889</v>
      </c>
      <c r="R489" s="8" t="s">
        <v>303</v>
      </c>
      <c r="S489" s="8" t="s">
        <v>293</v>
      </c>
    </row>
    <row r="490" customFormat="false" ht="15" hidden="false" customHeight="false" outlineLevel="0" collapsed="false">
      <c r="B490" s="8" t="s">
        <v>217</v>
      </c>
      <c r="C490" s="8" t="s">
        <v>279</v>
      </c>
      <c r="D490" s="9" t="s">
        <v>478</v>
      </c>
      <c r="E490" s="8" t="s">
        <v>81</v>
      </c>
      <c r="F490" s="8" t="s">
        <v>376</v>
      </c>
      <c r="G490" s="9" t="s">
        <v>440</v>
      </c>
      <c r="H490" s="21" t="n">
        <v>5</v>
      </c>
      <c r="I490" s="8" t="s">
        <v>288</v>
      </c>
      <c r="J490" s="8" t="s">
        <v>290</v>
      </c>
      <c r="K490" s="21" t="n">
        <v>10</v>
      </c>
      <c r="L490" s="21" t="n">
        <v>14</v>
      </c>
      <c r="M490" s="10" t="n">
        <v>12000000</v>
      </c>
      <c r="N490" s="10" t="n">
        <v>0</v>
      </c>
      <c r="O490" s="11" t="n">
        <f aca="false">ROUND((M490+N490)*0.18,0)</f>
        <v>2160000</v>
      </c>
      <c r="P490" s="11" t="n">
        <f aca="false">M490+N490+O490</f>
        <v>14160000</v>
      </c>
      <c r="Q490" s="9" t="s">
        <v>889</v>
      </c>
      <c r="R490" s="8" t="s">
        <v>303</v>
      </c>
      <c r="S490" s="8" t="s">
        <v>293</v>
      </c>
    </row>
    <row r="491" customFormat="false" ht="15" hidden="false" customHeight="false" outlineLevel="0" collapsed="false">
      <c r="B491" s="8" t="s">
        <v>217</v>
      </c>
      <c r="C491" s="8" t="s">
        <v>297</v>
      </c>
      <c r="D491" s="9" t="s">
        <v>482</v>
      </c>
      <c r="E491" s="8" t="s">
        <v>299</v>
      </c>
      <c r="F491" s="8" t="s">
        <v>300</v>
      </c>
      <c r="G491" s="9" t="s">
        <v>442</v>
      </c>
      <c r="H491" s="21" t="n">
        <v>5</v>
      </c>
      <c r="I491" s="8" t="s">
        <v>288</v>
      </c>
      <c r="J491" s="8" t="s">
        <v>294</v>
      </c>
      <c r="K491" s="21" t="n">
        <v>18</v>
      </c>
      <c r="L491" s="21" t="n">
        <v>22</v>
      </c>
      <c r="M491" s="10" t="n">
        <v>28333333</v>
      </c>
      <c r="N491" s="10" t="n">
        <v>0</v>
      </c>
      <c r="O491" s="11" t="n">
        <f aca="false">ROUND((M491+N491)*0.18,0)</f>
        <v>5100000</v>
      </c>
      <c r="P491" s="11" t="n">
        <f aca="false">M491+N491+O491</f>
        <v>33433333</v>
      </c>
      <c r="Q491" s="9" t="s">
        <v>889</v>
      </c>
      <c r="R491" s="8" t="s">
        <v>303</v>
      </c>
      <c r="S491" s="8" t="s">
        <v>293</v>
      </c>
    </row>
    <row r="492" customFormat="false" ht="15" hidden="false" customHeight="false" outlineLevel="0" collapsed="false">
      <c r="B492" s="8" t="s">
        <v>217</v>
      </c>
      <c r="C492" s="8" t="s">
        <v>297</v>
      </c>
      <c r="D492" s="9" t="s">
        <v>482</v>
      </c>
      <c r="E492" s="8" t="s">
        <v>299</v>
      </c>
      <c r="F492" s="8" t="s">
        <v>304</v>
      </c>
      <c r="G492" s="9" t="s">
        <v>483</v>
      </c>
      <c r="H492" s="21" t="n">
        <v>6</v>
      </c>
      <c r="I492" s="8" t="s">
        <v>288</v>
      </c>
      <c r="J492" s="8" t="s">
        <v>300</v>
      </c>
      <c r="K492" s="21" t="n">
        <v>23</v>
      </c>
      <c r="L492" s="21" t="n">
        <v>28</v>
      </c>
      <c r="M492" s="10" t="n">
        <v>28333333</v>
      </c>
      <c r="N492" s="10" t="n">
        <v>0</v>
      </c>
      <c r="O492" s="11" t="n">
        <f aca="false">ROUND((M492+N492)*0.18,0)</f>
        <v>5100000</v>
      </c>
      <c r="P492" s="11" t="n">
        <f aca="false">M492+N492+O492</f>
        <v>33433333</v>
      </c>
      <c r="Q492" s="9" t="s">
        <v>889</v>
      </c>
      <c r="R492" s="8" t="s">
        <v>303</v>
      </c>
      <c r="S492" s="8" t="s">
        <v>293</v>
      </c>
    </row>
    <row r="493" customFormat="false" ht="15" hidden="false" customHeight="false" outlineLevel="0" collapsed="false">
      <c r="B493" s="8" t="s">
        <v>217</v>
      </c>
      <c r="C493" s="8" t="s">
        <v>297</v>
      </c>
      <c r="D493" s="9" t="s">
        <v>482</v>
      </c>
      <c r="E493" s="8" t="s">
        <v>299</v>
      </c>
      <c r="F493" s="8" t="s">
        <v>307</v>
      </c>
      <c r="G493" s="9" t="s">
        <v>484</v>
      </c>
      <c r="H493" s="21" t="n">
        <v>6</v>
      </c>
      <c r="I493" s="8" t="s">
        <v>384</v>
      </c>
      <c r="J493" s="8" t="s">
        <v>304</v>
      </c>
      <c r="K493" s="21" t="n">
        <v>23</v>
      </c>
      <c r="L493" s="21" t="n">
        <v>28</v>
      </c>
      <c r="M493" s="10" t="n">
        <v>28333333</v>
      </c>
      <c r="N493" s="10" t="n">
        <v>0</v>
      </c>
      <c r="O493" s="11" t="n">
        <f aca="false">ROUND((M493+N493)*0.18,0)</f>
        <v>5100000</v>
      </c>
      <c r="P493" s="11" t="n">
        <f aca="false">M493+N493+O493</f>
        <v>33433333</v>
      </c>
      <c r="Q493" s="9" t="s">
        <v>889</v>
      </c>
      <c r="R493" s="8" t="s">
        <v>303</v>
      </c>
      <c r="S493" s="8" t="s">
        <v>293</v>
      </c>
    </row>
    <row r="494" customFormat="false" ht="15" hidden="false" customHeight="false" outlineLevel="0" collapsed="false">
      <c r="B494" s="8" t="s">
        <v>217</v>
      </c>
      <c r="C494" s="8" t="s">
        <v>297</v>
      </c>
      <c r="D494" s="9" t="s">
        <v>482</v>
      </c>
      <c r="E494" s="8" t="s">
        <v>299</v>
      </c>
      <c r="F494" s="8" t="s">
        <v>445</v>
      </c>
      <c r="G494" s="9" t="s">
        <v>485</v>
      </c>
      <c r="H494" s="21" t="n">
        <v>4</v>
      </c>
      <c r="I494" s="8" t="s">
        <v>288</v>
      </c>
      <c r="J494" s="8" t="s">
        <v>300</v>
      </c>
      <c r="K494" s="21" t="n">
        <v>23</v>
      </c>
      <c r="L494" s="21" t="n">
        <v>26</v>
      </c>
      <c r="M494" s="10" t="n">
        <v>28333333</v>
      </c>
      <c r="N494" s="10" t="n">
        <v>0</v>
      </c>
      <c r="O494" s="11" t="n">
        <f aca="false">ROUND((M494+N494)*0.18,0)</f>
        <v>5100000</v>
      </c>
      <c r="P494" s="11" t="n">
        <f aca="false">M494+N494+O494</f>
        <v>33433333</v>
      </c>
      <c r="Q494" s="9" t="s">
        <v>889</v>
      </c>
      <c r="R494" s="8" t="s">
        <v>303</v>
      </c>
      <c r="S494" s="8" t="s">
        <v>293</v>
      </c>
    </row>
    <row r="495" customFormat="false" ht="15" hidden="false" customHeight="false" outlineLevel="0" collapsed="false">
      <c r="B495" s="8" t="s">
        <v>217</v>
      </c>
      <c r="C495" s="8" t="s">
        <v>297</v>
      </c>
      <c r="D495" s="9" t="s">
        <v>482</v>
      </c>
      <c r="E495" s="8" t="s">
        <v>299</v>
      </c>
      <c r="F495" s="8" t="s">
        <v>486</v>
      </c>
      <c r="G495" s="9" t="s">
        <v>487</v>
      </c>
      <c r="H495" s="21" t="n">
        <v>3</v>
      </c>
      <c r="I495" s="8" t="s">
        <v>288</v>
      </c>
      <c r="J495" s="8" t="s">
        <v>445</v>
      </c>
      <c r="K495" s="21" t="n">
        <v>27</v>
      </c>
      <c r="L495" s="21" t="n">
        <v>29</v>
      </c>
      <c r="M495" s="10" t="n">
        <v>28333333</v>
      </c>
      <c r="N495" s="10" t="n">
        <v>0</v>
      </c>
      <c r="O495" s="11" t="n">
        <f aca="false">ROUND((M495+N495)*0.18,0)</f>
        <v>5100000</v>
      </c>
      <c r="P495" s="11" t="n">
        <f aca="false">M495+N495+O495</f>
        <v>33433333</v>
      </c>
      <c r="Q495" s="9" t="s">
        <v>889</v>
      </c>
      <c r="R495" s="8" t="s">
        <v>303</v>
      </c>
      <c r="S495" s="8" t="s">
        <v>293</v>
      </c>
    </row>
    <row r="496" customFormat="false" ht="15" hidden="false" customHeight="false" outlineLevel="0" collapsed="false">
      <c r="B496" s="8" t="s">
        <v>217</v>
      </c>
      <c r="C496" s="8" t="s">
        <v>297</v>
      </c>
      <c r="D496" s="9" t="s">
        <v>482</v>
      </c>
      <c r="E496" s="8" t="s">
        <v>299</v>
      </c>
      <c r="F496" s="8" t="s">
        <v>488</v>
      </c>
      <c r="G496" s="9" t="s">
        <v>503</v>
      </c>
      <c r="H496" s="21" t="n">
        <v>4</v>
      </c>
      <c r="I496" s="8" t="s">
        <v>384</v>
      </c>
      <c r="J496" s="8" t="s">
        <v>304</v>
      </c>
      <c r="K496" s="21" t="n">
        <v>23</v>
      </c>
      <c r="L496" s="21" t="n">
        <v>26</v>
      </c>
      <c r="M496" s="10" t="n">
        <v>28333335</v>
      </c>
      <c r="N496" s="10" t="n">
        <v>0</v>
      </c>
      <c r="O496" s="11" t="n">
        <f aca="false">ROUND((M496+N496)*0.18,0)</f>
        <v>5100000</v>
      </c>
      <c r="P496" s="11" t="n">
        <f aca="false">M496+N496+O496</f>
        <v>33433335</v>
      </c>
      <c r="Q496" s="9" t="s">
        <v>889</v>
      </c>
      <c r="R496" s="8" t="s">
        <v>303</v>
      </c>
      <c r="S496" s="8" t="s">
        <v>293</v>
      </c>
    </row>
    <row r="497" customFormat="false" ht="15" hidden="false" customHeight="false" outlineLevel="0" collapsed="false">
      <c r="B497" s="8" t="s">
        <v>217</v>
      </c>
      <c r="C497" s="8" t="s">
        <v>310</v>
      </c>
      <c r="D497" s="9" t="s">
        <v>504</v>
      </c>
      <c r="E497" s="8" t="s">
        <v>299</v>
      </c>
      <c r="F497" s="8" t="s">
        <v>312</v>
      </c>
      <c r="G497" s="9" t="s">
        <v>505</v>
      </c>
      <c r="H497" s="21" t="n">
        <v>5</v>
      </c>
      <c r="I497" s="8" t="s">
        <v>288</v>
      </c>
      <c r="J497" s="8" t="s">
        <v>300</v>
      </c>
      <c r="K497" s="21" t="n">
        <v>23</v>
      </c>
      <c r="L497" s="21" t="n">
        <v>27</v>
      </c>
      <c r="M497" s="10" t="n">
        <v>100000000</v>
      </c>
      <c r="N497" s="10" t="n">
        <v>0</v>
      </c>
      <c r="O497" s="11" t="n">
        <f aca="false">ROUND((M497+N497)*0.18,0)</f>
        <v>18000000</v>
      </c>
      <c r="P497" s="11" t="n">
        <f aca="false">M497+N497+O497</f>
        <v>118000000</v>
      </c>
      <c r="Q497" s="9" t="s">
        <v>889</v>
      </c>
      <c r="R497" s="8" t="s">
        <v>303</v>
      </c>
      <c r="S497" s="8" t="s">
        <v>293</v>
      </c>
    </row>
    <row r="498" customFormat="false" ht="15" hidden="false" customHeight="false" outlineLevel="0" collapsed="false">
      <c r="B498" s="8" t="s">
        <v>217</v>
      </c>
      <c r="C498" s="8" t="s">
        <v>310</v>
      </c>
      <c r="D498" s="9" t="s">
        <v>504</v>
      </c>
      <c r="E498" s="8" t="s">
        <v>299</v>
      </c>
      <c r="F498" s="8" t="s">
        <v>315</v>
      </c>
      <c r="G498" s="9" t="s">
        <v>506</v>
      </c>
      <c r="H498" s="21" t="n">
        <v>7</v>
      </c>
      <c r="I498" s="8" t="s">
        <v>288</v>
      </c>
      <c r="J498" s="8" t="s">
        <v>312</v>
      </c>
      <c r="K498" s="21" t="n">
        <v>28</v>
      </c>
      <c r="L498" s="21" t="n">
        <v>34</v>
      </c>
      <c r="M498" s="10" t="n">
        <v>100000000</v>
      </c>
      <c r="N498" s="10" t="n">
        <v>0</v>
      </c>
      <c r="O498" s="11" t="n">
        <f aca="false">ROUND((M498+N498)*0.18,0)</f>
        <v>18000000</v>
      </c>
      <c r="P498" s="11" t="n">
        <f aca="false">M498+N498+O498</f>
        <v>118000000</v>
      </c>
      <c r="Q498" s="9" t="s">
        <v>889</v>
      </c>
      <c r="R498" s="8" t="s">
        <v>303</v>
      </c>
      <c r="S498" s="8" t="s">
        <v>293</v>
      </c>
    </row>
    <row r="499" customFormat="false" ht="15" hidden="false" customHeight="false" outlineLevel="0" collapsed="false">
      <c r="B499" s="8" t="s">
        <v>217</v>
      </c>
      <c r="C499" s="8" t="s">
        <v>310</v>
      </c>
      <c r="D499" s="9" t="s">
        <v>504</v>
      </c>
      <c r="E499" s="8" t="s">
        <v>299</v>
      </c>
      <c r="F499" s="8" t="s">
        <v>318</v>
      </c>
      <c r="G499" s="9" t="s">
        <v>507</v>
      </c>
      <c r="H499" s="21" t="n">
        <v>5</v>
      </c>
      <c r="I499" s="8" t="s">
        <v>384</v>
      </c>
      <c r="J499" s="8" t="s">
        <v>315</v>
      </c>
      <c r="K499" s="21" t="n">
        <v>28</v>
      </c>
      <c r="L499" s="21" t="n">
        <v>32</v>
      </c>
      <c r="M499" s="10" t="n">
        <v>100000000</v>
      </c>
      <c r="N499" s="10" t="n">
        <v>0</v>
      </c>
      <c r="O499" s="11" t="n">
        <f aca="false">ROUND((M499+N499)*0.18,0)</f>
        <v>18000000</v>
      </c>
      <c r="P499" s="11" t="n">
        <f aca="false">M499+N499+O499</f>
        <v>118000000</v>
      </c>
      <c r="Q499" s="9" t="s">
        <v>889</v>
      </c>
      <c r="R499" s="8" t="s">
        <v>303</v>
      </c>
      <c r="S499" s="8" t="s">
        <v>293</v>
      </c>
    </row>
    <row r="500" customFormat="false" ht="15" hidden="false" customHeight="false" outlineLevel="0" collapsed="false">
      <c r="B500" s="8" t="s">
        <v>217</v>
      </c>
      <c r="C500" s="8" t="s">
        <v>310</v>
      </c>
      <c r="D500" s="9" t="s">
        <v>504</v>
      </c>
      <c r="E500" s="8" t="s">
        <v>299</v>
      </c>
      <c r="F500" s="8" t="s">
        <v>451</v>
      </c>
      <c r="G500" s="9" t="s">
        <v>508</v>
      </c>
      <c r="H500" s="21" t="n">
        <v>7</v>
      </c>
      <c r="I500" s="8" t="s">
        <v>288</v>
      </c>
      <c r="J500" s="8" t="s">
        <v>318</v>
      </c>
      <c r="K500" s="21" t="n">
        <v>33</v>
      </c>
      <c r="L500" s="21" t="n">
        <v>39</v>
      </c>
      <c r="M500" s="10" t="n">
        <v>100000000</v>
      </c>
      <c r="N500" s="10" t="n">
        <v>0</v>
      </c>
      <c r="O500" s="11" t="n">
        <f aca="false">ROUND((M500+N500)*0.18,0)</f>
        <v>18000000</v>
      </c>
      <c r="P500" s="11" t="n">
        <f aca="false">M500+N500+O500</f>
        <v>118000000</v>
      </c>
      <c r="Q500" s="9" t="s">
        <v>889</v>
      </c>
      <c r="R500" s="8" t="s">
        <v>303</v>
      </c>
      <c r="S500" s="8" t="s">
        <v>293</v>
      </c>
    </row>
    <row r="501" customFormat="false" ht="15" hidden="false" customHeight="false" outlineLevel="0" collapsed="false">
      <c r="B501" s="8" t="s">
        <v>217</v>
      </c>
      <c r="C501" s="8" t="s">
        <v>320</v>
      </c>
      <c r="D501" s="9" t="s">
        <v>509</v>
      </c>
      <c r="E501" s="8" t="s">
        <v>454</v>
      </c>
      <c r="F501" s="8" t="s">
        <v>323</v>
      </c>
      <c r="G501" s="9" t="s">
        <v>455</v>
      </c>
      <c r="H501" s="21" t="n">
        <v>7</v>
      </c>
      <c r="I501" s="8" t="s">
        <v>288</v>
      </c>
      <c r="J501" s="8" t="s">
        <v>315</v>
      </c>
      <c r="K501" s="21" t="n">
        <v>35</v>
      </c>
      <c r="L501" s="21" t="n">
        <v>41</v>
      </c>
      <c r="M501" s="10" t="n">
        <v>48000000</v>
      </c>
      <c r="N501" s="10" t="n">
        <v>10000000</v>
      </c>
      <c r="O501" s="11" t="n">
        <f aca="false">ROUND((M501+N501)*0.18,0)</f>
        <v>10440000</v>
      </c>
      <c r="P501" s="11" t="n">
        <f aca="false">M501+N501+O501</f>
        <v>68440000</v>
      </c>
      <c r="Q501" s="9" t="s">
        <v>889</v>
      </c>
      <c r="R501" s="8" t="s">
        <v>303</v>
      </c>
      <c r="S501" s="8" t="s">
        <v>293</v>
      </c>
    </row>
    <row r="502" customFormat="false" ht="15" hidden="false" customHeight="false" outlineLevel="0" collapsed="false">
      <c r="B502" s="8" t="s">
        <v>217</v>
      </c>
      <c r="C502" s="8" t="s">
        <v>320</v>
      </c>
      <c r="D502" s="9" t="s">
        <v>509</v>
      </c>
      <c r="E502" s="8" t="s">
        <v>454</v>
      </c>
      <c r="F502" s="8" t="s">
        <v>326</v>
      </c>
      <c r="G502" s="9" t="s">
        <v>456</v>
      </c>
      <c r="H502" s="21" t="n">
        <v>3</v>
      </c>
      <c r="I502" s="8" t="s">
        <v>288</v>
      </c>
      <c r="J502" s="8" t="s">
        <v>323</v>
      </c>
      <c r="K502" s="21" t="n">
        <v>42</v>
      </c>
      <c r="L502" s="21" t="n">
        <v>44</v>
      </c>
      <c r="M502" s="10" t="n">
        <v>48000000</v>
      </c>
      <c r="N502" s="10" t="n">
        <v>10000000</v>
      </c>
      <c r="O502" s="11" t="n">
        <f aca="false">ROUND((M502+N502)*0.18,0)</f>
        <v>10440000</v>
      </c>
      <c r="P502" s="11" t="n">
        <f aca="false">M502+N502+O502</f>
        <v>68440000</v>
      </c>
      <c r="Q502" s="9" t="s">
        <v>889</v>
      </c>
      <c r="R502" s="8" t="s">
        <v>303</v>
      </c>
      <c r="S502" s="8" t="s">
        <v>293</v>
      </c>
    </row>
    <row r="503" customFormat="false" ht="15" hidden="false" customHeight="false" outlineLevel="0" collapsed="false">
      <c r="B503" s="8" t="s">
        <v>217</v>
      </c>
      <c r="C503" s="8" t="s">
        <v>320</v>
      </c>
      <c r="D503" s="9" t="s">
        <v>509</v>
      </c>
      <c r="E503" s="8" t="s">
        <v>454</v>
      </c>
      <c r="F503" s="8" t="s">
        <v>329</v>
      </c>
      <c r="G503" s="9" t="s">
        <v>510</v>
      </c>
      <c r="H503" s="21" t="n">
        <v>4</v>
      </c>
      <c r="I503" s="8" t="s">
        <v>384</v>
      </c>
      <c r="J503" s="8" t="s">
        <v>326</v>
      </c>
      <c r="K503" s="21" t="n">
        <v>42</v>
      </c>
      <c r="L503" s="21" t="n">
        <v>45</v>
      </c>
      <c r="M503" s="10" t="n">
        <v>48000000</v>
      </c>
      <c r="N503" s="10" t="n">
        <v>10000000</v>
      </c>
      <c r="O503" s="11" t="n">
        <f aca="false">ROUND((M503+N503)*0.18,0)</f>
        <v>10440000</v>
      </c>
      <c r="P503" s="11" t="n">
        <f aca="false">M503+N503+O503</f>
        <v>68440000</v>
      </c>
      <c r="Q503" s="9" t="s">
        <v>889</v>
      </c>
      <c r="R503" s="8" t="s">
        <v>303</v>
      </c>
      <c r="S503" s="8" t="s">
        <v>293</v>
      </c>
    </row>
    <row r="504" customFormat="false" ht="15" hidden="false" customHeight="false" outlineLevel="0" collapsed="false">
      <c r="B504" s="8" t="s">
        <v>217</v>
      </c>
      <c r="C504" s="8" t="s">
        <v>320</v>
      </c>
      <c r="D504" s="9" t="s">
        <v>509</v>
      </c>
      <c r="E504" s="8" t="s">
        <v>454</v>
      </c>
      <c r="F504" s="8" t="s">
        <v>332</v>
      </c>
      <c r="G504" s="9" t="s">
        <v>511</v>
      </c>
      <c r="H504" s="21" t="n">
        <v>3</v>
      </c>
      <c r="I504" s="8" t="s">
        <v>288</v>
      </c>
      <c r="J504" s="8" t="s">
        <v>329</v>
      </c>
      <c r="K504" s="21" t="n">
        <v>46</v>
      </c>
      <c r="L504" s="21" t="n">
        <v>48</v>
      </c>
      <c r="M504" s="10" t="n">
        <v>48000000</v>
      </c>
      <c r="N504" s="10" t="n">
        <v>10000000</v>
      </c>
      <c r="O504" s="11" t="n">
        <f aca="false">ROUND((M504+N504)*0.18,0)</f>
        <v>10440000</v>
      </c>
      <c r="P504" s="11" t="n">
        <f aca="false">M504+N504+O504</f>
        <v>68440000</v>
      </c>
      <c r="Q504" s="9" t="s">
        <v>889</v>
      </c>
      <c r="R504" s="8" t="s">
        <v>303</v>
      </c>
      <c r="S504" s="8" t="s">
        <v>293</v>
      </c>
    </row>
    <row r="505" customFormat="false" ht="15" hidden="false" customHeight="false" outlineLevel="0" collapsed="false">
      <c r="B505" s="8" t="s">
        <v>217</v>
      </c>
      <c r="C505" s="8" t="s">
        <v>320</v>
      </c>
      <c r="D505" s="9" t="s">
        <v>509</v>
      </c>
      <c r="E505" s="8" t="s">
        <v>454</v>
      </c>
      <c r="F505" s="8" t="s">
        <v>458</v>
      </c>
      <c r="G505" s="9" t="s">
        <v>457</v>
      </c>
      <c r="H505" s="21" t="n">
        <v>4</v>
      </c>
      <c r="I505" s="8" t="s">
        <v>288</v>
      </c>
      <c r="J505" s="8" t="s">
        <v>332</v>
      </c>
      <c r="K505" s="21" t="n">
        <v>49</v>
      </c>
      <c r="L505" s="21" t="n">
        <v>52</v>
      </c>
      <c r="M505" s="10" t="n">
        <v>48000000</v>
      </c>
      <c r="N505" s="10" t="n">
        <v>10000000</v>
      </c>
      <c r="O505" s="11" t="n">
        <f aca="false">ROUND((M505+N505)*0.18,0)</f>
        <v>10440000</v>
      </c>
      <c r="P505" s="11" t="n">
        <f aca="false">M505+N505+O505</f>
        <v>68440000</v>
      </c>
      <c r="Q505" s="9" t="s">
        <v>889</v>
      </c>
      <c r="R505" s="8" t="s">
        <v>303</v>
      </c>
      <c r="S505" s="8" t="s">
        <v>293</v>
      </c>
    </row>
    <row r="506" customFormat="false" ht="15" hidden="false" customHeight="false" outlineLevel="0" collapsed="false">
      <c r="B506" s="8" t="s">
        <v>217</v>
      </c>
      <c r="C506" s="8" t="s">
        <v>335</v>
      </c>
      <c r="D506" s="9" t="s">
        <v>467</v>
      </c>
      <c r="E506" s="8" t="s">
        <v>361</v>
      </c>
      <c r="F506" s="8" t="s">
        <v>337</v>
      </c>
      <c r="G506" s="9" t="s">
        <v>468</v>
      </c>
      <c r="H506" s="21" t="n">
        <v>4</v>
      </c>
      <c r="I506" s="8" t="s">
        <v>288</v>
      </c>
      <c r="J506" s="8" t="s">
        <v>486</v>
      </c>
      <c r="K506" s="21" t="n">
        <v>30</v>
      </c>
      <c r="L506" s="21" t="n">
        <v>33</v>
      </c>
      <c r="M506" s="10" t="n">
        <v>16000000</v>
      </c>
      <c r="N506" s="10" t="n">
        <v>0</v>
      </c>
      <c r="O506" s="11" t="n">
        <f aca="false">ROUND((M506+N506)*0.18,0)</f>
        <v>2880000</v>
      </c>
      <c r="P506" s="11" t="n">
        <f aca="false">M506+N506+O506</f>
        <v>18880000</v>
      </c>
      <c r="Q506" s="9" t="s">
        <v>889</v>
      </c>
      <c r="R506" s="8" t="s">
        <v>303</v>
      </c>
      <c r="S506" s="8" t="s">
        <v>293</v>
      </c>
    </row>
    <row r="507" customFormat="false" ht="15" hidden="false" customHeight="false" outlineLevel="0" collapsed="false">
      <c r="B507" s="8" t="s">
        <v>217</v>
      </c>
      <c r="C507" s="8" t="s">
        <v>335</v>
      </c>
      <c r="D507" s="9" t="s">
        <v>467</v>
      </c>
      <c r="E507" s="8" t="s">
        <v>361</v>
      </c>
      <c r="F507" s="8" t="s">
        <v>340</v>
      </c>
      <c r="G507" s="9" t="s">
        <v>469</v>
      </c>
      <c r="H507" s="21" t="n">
        <v>4</v>
      </c>
      <c r="I507" s="8" t="s">
        <v>288</v>
      </c>
      <c r="J507" s="8" t="s">
        <v>486</v>
      </c>
      <c r="K507" s="21" t="n">
        <v>30</v>
      </c>
      <c r="L507" s="21" t="n">
        <v>33</v>
      </c>
      <c r="M507" s="10" t="n">
        <v>16000000</v>
      </c>
      <c r="N507" s="10" t="n">
        <v>0</v>
      </c>
      <c r="O507" s="11" t="n">
        <f aca="false">ROUND((M507+N507)*0.18,0)</f>
        <v>2880000</v>
      </c>
      <c r="P507" s="11" t="n">
        <f aca="false">M507+N507+O507</f>
        <v>18880000</v>
      </c>
      <c r="Q507" s="9" t="s">
        <v>889</v>
      </c>
      <c r="R507" s="8" t="s">
        <v>303</v>
      </c>
      <c r="S507" s="8" t="s">
        <v>293</v>
      </c>
    </row>
    <row r="508" customFormat="false" ht="15" hidden="false" customHeight="false" outlineLevel="0" collapsed="false">
      <c r="B508" s="8" t="s">
        <v>217</v>
      </c>
      <c r="C508" s="8" t="s">
        <v>335</v>
      </c>
      <c r="D508" s="9" t="s">
        <v>467</v>
      </c>
      <c r="E508" s="8" t="s">
        <v>361</v>
      </c>
      <c r="F508" s="8" t="s">
        <v>341</v>
      </c>
      <c r="G508" s="9" t="s">
        <v>512</v>
      </c>
      <c r="H508" s="21" t="n">
        <v>3</v>
      </c>
      <c r="I508" s="8" t="s">
        <v>384</v>
      </c>
      <c r="J508" s="8" t="s">
        <v>340</v>
      </c>
      <c r="K508" s="21" t="n">
        <v>30</v>
      </c>
      <c r="L508" s="21" t="n">
        <v>32</v>
      </c>
      <c r="M508" s="10" t="n">
        <v>16000000</v>
      </c>
      <c r="N508" s="10" t="n">
        <v>0</v>
      </c>
      <c r="O508" s="11" t="n">
        <f aca="false">ROUND((M508+N508)*0.18,0)</f>
        <v>2880000</v>
      </c>
      <c r="P508" s="11" t="n">
        <f aca="false">M508+N508+O508</f>
        <v>18880000</v>
      </c>
      <c r="Q508" s="9" t="s">
        <v>889</v>
      </c>
      <c r="R508" s="8" t="s">
        <v>303</v>
      </c>
      <c r="S508" s="8" t="s">
        <v>293</v>
      </c>
    </row>
    <row r="509" customFormat="false" ht="15" hidden="false" customHeight="false" outlineLevel="0" collapsed="false">
      <c r="B509" s="8" t="s">
        <v>217</v>
      </c>
      <c r="C509" s="8" t="s">
        <v>335</v>
      </c>
      <c r="D509" s="9" t="s">
        <v>467</v>
      </c>
      <c r="E509" s="8" t="s">
        <v>361</v>
      </c>
      <c r="F509" s="8" t="s">
        <v>461</v>
      </c>
      <c r="G509" s="9" t="s">
        <v>513</v>
      </c>
      <c r="H509" s="21" t="n">
        <v>3</v>
      </c>
      <c r="I509" s="8" t="s">
        <v>384</v>
      </c>
      <c r="J509" s="8" t="s">
        <v>337</v>
      </c>
      <c r="K509" s="21" t="n">
        <v>30</v>
      </c>
      <c r="L509" s="21" t="n">
        <v>32</v>
      </c>
      <c r="M509" s="10" t="n">
        <v>16000000</v>
      </c>
      <c r="N509" s="10" t="n">
        <v>0</v>
      </c>
      <c r="O509" s="11" t="n">
        <f aca="false">ROUND((M509+N509)*0.18,0)</f>
        <v>2880000</v>
      </c>
      <c r="P509" s="11" t="n">
        <f aca="false">M509+N509+O509</f>
        <v>18880000</v>
      </c>
      <c r="Q509" s="9" t="s">
        <v>889</v>
      </c>
      <c r="R509" s="8" t="s">
        <v>303</v>
      </c>
      <c r="S509" s="8" t="s">
        <v>293</v>
      </c>
    </row>
    <row r="510" customFormat="false" ht="15" hidden="false" customHeight="false" outlineLevel="0" collapsed="false">
      <c r="B510" s="8" t="s">
        <v>217</v>
      </c>
      <c r="C510" s="8" t="s">
        <v>335</v>
      </c>
      <c r="D510" s="9" t="s">
        <v>467</v>
      </c>
      <c r="E510" s="8" t="s">
        <v>361</v>
      </c>
      <c r="F510" s="8" t="s">
        <v>463</v>
      </c>
      <c r="G510" s="9" t="s">
        <v>501</v>
      </c>
      <c r="H510" s="21" t="n">
        <v>2</v>
      </c>
      <c r="I510" s="8" t="s">
        <v>288</v>
      </c>
      <c r="J510" s="8" t="s">
        <v>337</v>
      </c>
      <c r="K510" s="21" t="n">
        <v>34</v>
      </c>
      <c r="L510" s="21" t="n">
        <v>35</v>
      </c>
      <c r="M510" s="10" t="n">
        <v>16000000</v>
      </c>
      <c r="N510" s="10" t="n">
        <v>0</v>
      </c>
      <c r="O510" s="11" t="n">
        <f aca="false">ROUND((M510+N510)*0.18,0)</f>
        <v>2880000</v>
      </c>
      <c r="P510" s="11" t="n">
        <f aca="false">M510+N510+O510</f>
        <v>18880000</v>
      </c>
      <c r="Q510" s="9" t="s">
        <v>889</v>
      </c>
      <c r="R510" s="8" t="s">
        <v>303</v>
      </c>
      <c r="S510" s="8" t="s">
        <v>293</v>
      </c>
    </row>
    <row r="511" customFormat="false" ht="15" hidden="false" customHeight="false" outlineLevel="0" collapsed="false">
      <c r="B511" s="8" t="s">
        <v>217</v>
      </c>
      <c r="C511" s="8" t="s">
        <v>343</v>
      </c>
      <c r="D511" s="9" t="s">
        <v>473</v>
      </c>
      <c r="E511" s="8" t="s">
        <v>361</v>
      </c>
      <c r="F511" s="8" t="s">
        <v>346</v>
      </c>
      <c r="G511" s="9" t="s">
        <v>474</v>
      </c>
      <c r="H511" s="21" t="n">
        <v>3</v>
      </c>
      <c r="I511" s="8" t="s">
        <v>288</v>
      </c>
      <c r="J511" s="8" t="s">
        <v>458</v>
      </c>
      <c r="K511" s="21" t="n">
        <v>53</v>
      </c>
      <c r="L511" s="21" t="n">
        <v>55</v>
      </c>
      <c r="M511" s="10" t="n">
        <v>10000000</v>
      </c>
      <c r="N511" s="10" t="n">
        <v>0</v>
      </c>
      <c r="O511" s="11" t="n">
        <f aca="false">ROUND((M511+N511)*0.18,0)</f>
        <v>1800000</v>
      </c>
      <c r="P511" s="11" t="n">
        <f aca="false">M511+N511+O511</f>
        <v>11800000</v>
      </c>
      <c r="Q511" s="9" t="s">
        <v>889</v>
      </c>
      <c r="R511" s="8" t="s">
        <v>303</v>
      </c>
      <c r="S511" s="8" t="s">
        <v>293</v>
      </c>
    </row>
    <row r="512" customFormat="false" ht="15" hidden="false" customHeight="false" outlineLevel="0" collapsed="false">
      <c r="B512" s="8" t="s">
        <v>217</v>
      </c>
      <c r="C512" s="8" t="s">
        <v>343</v>
      </c>
      <c r="D512" s="9" t="s">
        <v>473</v>
      </c>
      <c r="E512" s="8" t="s">
        <v>361</v>
      </c>
      <c r="F512" s="8" t="s">
        <v>348</v>
      </c>
      <c r="G512" s="9" t="s">
        <v>502</v>
      </c>
      <c r="H512" s="21" t="n">
        <v>4</v>
      </c>
      <c r="I512" s="8" t="s">
        <v>288</v>
      </c>
      <c r="J512" s="8" t="s">
        <v>346</v>
      </c>
      <c r="K512" s="21" t="n">
        <v>56</v>
      </c>
      <c r="L512" s="21" t="n">
        <v>59</v>
      </c>
      <c r="M512" s="10" t="n">
        <v>10000000</v>
      </c>
      <c r="N512" s="10" t="n">
        <v>0</v>
      </c>
      <c r="O512" s="11" t="n">
        <f aca="false">ROUND((M512+N512)*0.18,0)</f>
        <v>1800000</v>
      </c>
      <c r="P512" s="11" t="n">
        <f aca="false">M512+N512+O512</f>
        <v>11800000</v>
      </c>
      <c r="Q512" s="9" t="s">
        <v>889</v>
      </c>
      <c r="R512" s="8" t="s">
        <v>303</v>
      </c>
      <c r="S512" s="8" t="s">
        <v>293</v>
      </c>
    </row>
    <row r="513" customFormat="false" ht="15" hidden="false" customHeight="false" outlineLevel="0" collapsed="false">
      <c r="B513" s="8" t="s">
        <v>217</v>
      </c>
      <c r="C513" s="8" t="s">
        <v>343</v>
      </c>
      <c r="D513" s="9" t="s">
        <v>473</v>
      </c>
      <c r="E513" s="8" t="s">
        <v>361</v>
      </c>
      <c r="F513" s="8" t="s">
        <v>403</v>
      </c>
      <c r="G513" s="9" t="s">
        <v>514</v>
      </c>
      <c r="H513" s="21" t="n">
        <v>2</v>
      </c>
      <c r="I513" s="8" t="s">
        <v>288</v>
      </c>
      <c r="J513" s="8" t="s">
        <v>348</v>
      </c>
      <c r="K513" s="21" t="n">
        <v>60</v>
      </c>
      <c r="L513" s="21" t="n">
        <v>61</v>
      </c>
      <c r="M513" s="10" t="n">
        <v>10000000</v>
      </c>
      <c r="N513" s="10" t="n">
        <v>0</v>
      </c>
      <c r="O513" s="11" t="n">
        <f aca="false">ROUND((M513+N513)*0.18,0)</f>
        <v>1800000</v>
      </c>
      <c r="P513" s="11" t="n">
        <f aca="false">M513+N513+O513</f>
        <v>11800000</v>
      </c>
      <c r="Q513" s="9" t="s">
        <v>889</v>
      </c>
      <c r="R513" s="8" t="s">
        <v>303</v>
      </c>
      <c r="S513" s="8" t="s">
        <v>293</v>
      </c>
    </row>
    <row r="514" customFormat="false" ht="15" hidden="false" customHeight="false" outlineLevel="0" collapsed="false">
      <c r="B514" s="8" t="s">
        <v>217</v>
      </c>
      <c r="C514" s="8" t="s">
        <v>343</v>
      </c>
      <c r="D514" s="9" t="s">
        <v>473</v>
      </c>
      <c r="E514" s="8" t="s">
        <v>361</v>
      </c>
      <c r="F514" s="8" t="s">
        <v>471</v>
      </c>
      <c r="G514" s="9" t="s">
        <v>515</v>
      </c>
      <c r="H514" s="21" t="n">
        <v>2</v>
      </c>
      <c r="I514" s="8" t="s">
        <v>288</v>
      </c>
      <c r="J514" s="8" t="s">
        <v>403</v>
      </c>
      <c r="K514" s="21" t="n">
        <v>62</v>
      </c>
      <c r="L514" s="21" t="n">
        <v>63</v>
      </c>
      <c r="M514" s="10" t="n">
        <v>10000000</v>
      </c>
      <c r="N514" s="10" t="n">
        <v>0</v>
      </c>
      <c r="O514" s="11" t="n">
        <f aca="false">ROUND((M514+N514)*0.18,0)</f>
        <v>1800000</v>
      </c>
      <c r="P514" s="11" t="n">
        <f aca="false">M514+N514+O514</f>
        <v>11800000</v>
      </c>
      <c r="Q514" s="9" t="s">
        <v>889</v>
      </c>
      <c r="R514" s="8" t="s">
        <v>303</v>
      </c>
      <c r="S514" s="8" t="s">
        <v>293</v>
      </c>
    </row>
    <row r="515" customFormat="false" ht="15" hidden="false" customHeight="false" outlineLevel="0" collapsed="false">
      <c r="B515" s="8" t="s">
        <v>217</v>
      </c>
      <c r="C515" s="8" t="s">
        <v>343</v>
      </c>
      <c r="D515" s="9" t="s">
        <v>473</v>
      </c>
      <c r="E515" s="8" t="s">
        <v>361</v>
      </c>
      <c r="F515" s="8" t="s">
        <v>500</v>
      </c>
      <c r="G515" s="9" t="s">
        <v>477</v>
      </c>
      <c r="H515" s="21" t="n">
        <v>2</v>
      </c>
      <c r="I515" s="8" t="s">
        <v>288</v>
      </c>
      <c r="J515" s="8" t="s">
        <v>471</v>
      </c>
      <c r="K515" s="21" t="n">
        <v>64</v>
      </c>
      <c r="L515" s="21" t="n">
        <v>65</v>
      </c>
      <c r="M515" s="10" t="n">
        <v>10000000</v>
      </c>
      <c r="N515" s="10" t="n">
        <v>0</v>
      </c>
      <c r="O515" s="11" t="n">
        <f aca="false">ROUND((M515+N515)*0.18,0)</f>
        <v>1800000</v>
      </c>
      <c r="P515" s="11" t="n">
        <f aca="false">M515+N515+O515</f>
        <v>11800000</v>
      </c>
      <c r="Q515" s="9" t="s">
        <v>889</v>
      </c>
      <c r="R515" s="8" t="s">
        <v>303</v>
      </c>
      <c r="S515" s="8" t="s">
        <v>293</v>
      </c>
    </row>
    <row r="516" customFormat="false" ht="15" hidden="false" customHeight="false" outlineLevel="0" collapsed="false">
      <c r="B516" s="8" t="s">
        <v>236</v>
      </c>
      <c r="C516" s="8" t="s">
        <v>279</v>
      </c>
      <c r="D516" s="9" t="s">
        <v>437</v>
      </c>
      <c r="E516" s="8" t="s">
        <v>81</v>
      </c>
      <c r="F516" s="8" t="s">
        <v>286</v>
      </c>
      <c r="G516" s="9" t="s">
        <v>438</v>
      </c>
      <c r="H516" s="21" t="n">
        <v>2</v>
      </c>
      <c r="I516" s="8" t="s">
        <v>384</v>
      </c>
      <c r="J516" s="8" t="s">
        <v>281</v>
      </c>
      <c r="K516" s="21" t="n">
        <v>1</v>
      </c>
      <c r="L516" s="21" t="n">
        <v>2</v>
      </c>
      <c r="M516" s="10" t="n">
        <v>28282828</v>
      </c>
      <c r="N516" s="10" t="n">
        <v>0</v>
      </c>
      <c r="O516" s="11" t="n">
        <f aca="false">ROUND((M516+N516)*0.18,0)</f>
        <v>5090909</v>
      </c>
      <c r="P516" s="11" t="n">
        <f aca="false">M516+N516+O516</f>
        <v>33373737</v>
      </c>
      <c r="Q516" s="9" t="s">
        <v>865</v>
      </c>
      <c r="R516" s="8" t="s">
        <v>303</v>
      </c>
      <c r="S516" s="8" t="s">
        <v>293</v>
      </c>
    </row>
    <row r="517" customFormat="false" ht="15" hidden="false" customHeight="false" outlineLevel="0" collapsed="false">
      <c r="B517" s="8" t="s">
        <v>236</v>
      </c>
      <c r="C517" s="8" t="s">
        <v>279</v>
      </c>
      <c r="D517" s="9" t="s">
        <v>437</v>
      </c>
      <c r="E517" s="8" t="s">
        <v>81</v>
      </c>
      <c r="F517" s="8" t="s">
        <v>290</v>
      </c>
      <c r="G517" s="9" t="s">
        <v>439</v>
      </c>
      <c r="H517" s="21" t="n">
        <v>6</v>
      </c>
      <c r="I517" s="8" t="s">
        <v>288</v>
      </c>
      <c r="J517" s="8" t="s">
        <v>281</v>
      </c>
      <c r="K517" s="21" t="n">
        <v>1</v>
      </c>
      <c r="L517" s="21" t="n">
        <v>6</v>
      </c>
      <c r="M517" s="10" t="n">
        <v>28282828</v>
      </c>
      <c r="N517" s="10" t="n">
        <v>0</v>
      </c>
      <c r="O517" s="11" t="n">
        <f aca="false">ROUND((M517+N517)*0.18,0)</f>
        <v>5090909</v>
      </c>
      <c r="P517" s="11" t="n">
        <f aca="false">M517+N517+O517</f>
        <v>33373737</v>
      </c>
      <c r="Q517" s="9" t="s">
        <v>865</v>
      </c>
      <c r="R517" s="8" t="s">
        <v>303</v>
      </c>
      <c r="S517" s="8" t="s">
        <v>293</v>
      </c>
    </row>
    <row r="518" customFormat="false" ht="15" hidden="false" customHeight="false" outlineLevel="0" collapsed="false">
      <c r="B518" s="8" t="s">
        <v>236</v>
      </c>
      <c r="C518" s="8" t="s">
        <v>279</v>
      </c>
      <c r="D518" s="9" t="s">
        <v>437</v>
      </c>
      <c r="E518" s="8" t="s">
        <v>81</v>
      </c>
      <c r="F518" s="8" t="s">
        <v>294</v>
      </c>
      <c r="G518" s="9" t="s">
        <v>440</v>
      </c>
      <c r="H518" s="21" t="n">
        <v>6</v>
      </c>
      <c r="I518" s="8" t="s">
        <v>288</v>
      </c>
      <c r="J518" s="8" t="s">
        <v>281</v>
      </c>
      <c r="K518" s="21" t="n">
        <v>1</v>
      </c>
      <c r="L518" s="21" t="n">
        <v>6</v>
      </c>
      <c r="M518" s="10" t="n">
        <v>28282828</v>
      </c>
      <c r="N518" s="10" t="n">
        <v>0</v>
      </c>
      <c r="O518" s="11" t="n">
        <f aca="false">ROUND((M518+N518)*0.18,0)</f>
        <v>5090909</v>
      </c>
      <c r="P518" s="11" t="n">
        <f aca="false">M518+N518+O518</f>
        <v>33373737</v>
      </c>
      <c r="Q518" s="9" t="s">
        <v>865</v>
      </c>
      <c r="R518" s="8" t="s">
        <v>303</v>
      </c>
      <c r="S518" s="8" t="s">
        <v>293</v>
      </c>
    </row>
    <row r="519" customFormat="false" ht="15" hidden="false" customHeight="false" outlineLevel="0" collapsed="false">
      <c r="B519" s="8" t="s">
        <v>236</v>
      </c>
      <c r="C519" s="8" t="s">
        <v>297</v>
      </c>
      <c r="D519" s="9" t="s">
        <v>441</v>
      </c>
      <c r="E519" s="8" t="s">
        <v>299</v>
      </c>
      <c r="F519" s="8" t="s">
        <v>300</v>
      </c>
      <c r="G519" s="9" t="s">
        <v>442</v>
      </c>
      <c r="H519" s="21" t="n">
        <v>4</v>
      </c>
      <c r="I519" s="8" t="s">
        <v>288</v>
      </c>
      <c r="J519" s="8" t="s">
        <v>290</v>
      </c>
      <c r="K519" s="21" t="n">
        <v>7</v>
      </c>
      <c r="L519" s="21" t="n">
        <v>10</v>
      </c>
      <c r="M519" s="10" t="n">
        <v>70707071</v>
      </c>
      <c r="N519" s="10" t="n">
        <v>0</v>
      </c>
      <c r="O519" s="11" t="n">
        <f aca="false">ROUND((M519+N519)*0.18,0)</f>
        <v>12727273</v>
      </c>
      <c r="P519" s="11" t="n">
        <f aca="false">M519+N519+O519</f>
        <v>83434344</v>
      </c>
      <c r="Q519" s="9" t="s">
        <v>865</v>
      </c>
      <c r="R519" s="8" t="s">
        <v>303</v>
      </c>
      <c r="S519" s="8" t="s">
        <v>293</v>
      </c>
    </row>
    <row r="520" customFormat="false" ht="15" hidden="false" customHeight="false" outlineLevel="0" collapsed="false">
      <c r="B520" s="8" t="s">
        <v>236</v>
      </c>
      <c r="C520" s="8" t="s">
        <v>297</v>
      </c>
      <c r="D520" s="9" t="s">
        <v>441</v>
      </c>
      <c r="E520" s="8" t="s">
        <v>299</v>
      </c>
      <c r="F520" s="8" t="s">
        <v>304</v>
      </c>
      <c r="G520" s="9" t="s">
        <v>443</v>
      </c>
      <c r="H520" s="21" t="n">
        <v>4</v>
      </c>
      <c r="I520" s="8" t="s">
        <v>288</v>
      </c>
      <c r="J520" s="8" t="s">
        <v>300</v>
      </c>
      <c r="K520" s="21" t="n">
        <v>11</v>
      </c>
      <c r="L520" s="21" t="n">
        <v>14</v>
      </c>
      <c r="M520" s="10" t="n">
        <v>70707071</v>
      </c>
      <c r="N520" s="10" t="n">
        <v>0</v>
      </c>
      <c r="O520" s="11" t="n">
        <f aca="false">ROUND((M520+N520)*0.18,0)</f>
        <v>12727273</v>
      </c>
      <c r="P520" s="11" t="n">
        <f aca="false">M520+N520+O520</f>
        <v>83434344</v>
      </c>
      <c r="Q520" s="9" t="s">
        <v>865</v>
      </c>
      <c r="R520" s="8" t="s">
        <v>303</v>
      </c>
      <c r="S520" s="8" t="s">
        <v>293</v>
      </c>
    </row>
    <row r="521" customFormat="false" ht="15" hidden="false" customHeight="false" outlineLevel="0" collapsed="false">
      <c r="B521" s="8" t="s">
        <v>236</v>
      </c>
      <c r="C521" s="8" t="s">
        <v>297</v>
      </c>
      <c r="D521" s="9" t="s">
        <v>441</v>
      </c>
      <c r="E521" s="8" t="s">
        <v>299</v>
      </c>
      <c r="F521" s="8" t="s">
        <v>307</v>
      </c>
      <c r="G521" s="9" t="s">
        <v>444</v>
      </c>
      <c r="H521" s="21" t="n">
        <v>5</v>
      </c>
      <c r="I521" s="8" t="s">
        <v>384</v>
      </c>
      <c r="J521" s="8" t="s">
        <v>304</v>
      </c>
      <c r="K521" s="21" t="n">
        <v>11</v>
      </c>
      <c r="L521" s="21" t="n">
        <v>15</v>
      </c>
      <c r="M521" s="10" t="n">
        <v>70707071</v>
      </c>
      <c r="N521" s="10" t="n">
        <v>0</v>
      </c>
      <c r="O521" s="11" t="n">
        <f aca="false">ROUND((M521+N521)*0.18,0)</f>
        <v>12727273</v>
      </c>
      <c r="P521" s="11" t="n">
        <f aca="false">M521+N521+O521</f>
        <v>83434344</v>
      </c>
      <c r="Q521" s="9" t="s">
        <v>865</v>
      </c>
      <c r="R521" s="8" t="s">
        <v>303</v>
      </c>
      <c r="S521" s="8" t="s">
        <v>293</v>
      </c>
    </row>
    <row r="522" customFormat="false" ht="15" hidden="false" customHeight="false" outlineLevel="0" collapsed="false">
      <c r="B522" s="8" t="s">
        <v>236</v>
      </c>
      <c r="C522" s="8" t="s">
        <v>297</v>
      </c>
      <c r="D522" s="9" t="s">
        <v>441</v>
      </c>
      <c r="E522" s="8" t="s">
        <v>299</v>
      </c>
      <c r="F522" s="8" t="s">
        <v>445</v>
      </c>
      <c r="G522" s="9" t="s">
        <v>446</v>
      </c>
      <c r="H522" s="21" t="n">
        <v>4</v>
      </c>
      <c r="I522" s="8" t="s">
        <v>288</v>
      </c>
      <c r="J522" s="8" t="s">
        <v>300</v>
      </c>
      <c r="K522" s="21" t="n">
        <v>11</v>
      </c>
      <c r="L522" s="21" t="n">
        <v>14</v>
      </c>
      <c r="M522" s="10" t="n">
        <v>70707071</v>
      </c>
      <c r="N522" s="10" t="n">
        <v>0</v>
      </c>
      <c r="O522" s="11" t="n">
        <f aca="false">ROUND((M522+N522)*0.18,0)</f>
        <v>12727273</v>
      </c>
      <c r="P522" s="11" t="n">
        <f aca="false">M522+N522+O522</f>
        <v>83434344</v>
      </c>
      <c r="Q522" s="9" t="s">
        <v>865</v>
      </c>
      <c r="R522" s="8" t="s">
        <v>303</v>
      </c>
      <c r="S522" s="8" t="s">
        <v>293</v>
      </c>
    </row>
    <row r="523" customFormat="false" ht="15" hidden="false" customHeight="false" outlineLevel="0" collapsed="false">
      <c r="B523" s="8" t="s">
        <v>236</v>
      </c>
      <c r="C523" s="8" t="s">
        <v>310</v>
      </c>
      <c r="D523" s="9" t="s">
        <v>447</v>
      </c>
      <c r="E523" s="8" t="s">
        <v>299</v>
      </c>
      <c r="F523" s="8" t="s">
        <v>312</v>
      </c>
      <c r="G523" s="9" t="s">
        <v>448</v>
      </c>
      <c r="H523" s="21" t="n">
        <v>5</v>
      </c>
      <c r="I523" s="8" t="s">
        <v>288</v>
      </c>
      <c r="J523" s="8" t="s">
        <v>300</v>
      </c>
      <c r="K523" s="21" t="n">
        <v>11</v>
      </c>
      <c r="L523" s="21" t="n">
        <v>15</v>
      </c>
      <c r="M523" s="10" t="n">
        <v>268686869</v>
      </c>
      <c r="N523" s="10" t="n">
        <v>0</v>
      </c>
      <c r="O523" s="11" t="n">
        <f aca="false">ROUND((M523+N523)*0.18,0)</f>
        <v>48363636</v>
      </c>
      <c r="P523" s="11" t="n">
        <f aca="false">M523+N523+O523</f>
        <v>317050505</v>
      </c>
      <c r="Q523" s="9" t="s">
        <v>865</v>
      </c>
      <c r="R523" s="8" t="s">
        <v>303</v>
      </c>
      <c r="S523" s="8" t="s">
        <v>293</v>
      </c>
    </row>
    <row r="524" customFormat="false" ht="15" hidden="false" customHeight="false" outlineLevel="0" collapsed="false">
      <c r="B524" s="8" t="s">
        <v>236</v>
      </c>
      <c r="C524" s="8" t="s">
        <v>310</v>
      </c>
      <c r="D524" s="9" t="s">
        <v>447</v>
      </c>
      <c r="E524" s="8" t="s">
        <v>299</v>
      </c>
      <c r="F524" s="8" t="s">
        <v>315</v>
      </c>
      <c r="G524" s="9" t="s">
        <v>449</v>
      </c>
      <c r="H524" s="21" t="n">
        <v>7</v>
      </c>
      <c r="I524" s="8" t="s">
        <v>288</v>
      </c>
      <c r="J524" s="8" t="s">
        <v>312</v>
      </c>
      <c r="K524" s="21" t="n">
        <v>16</v>
      </c>
      <c r="L524" s="21" t="n">
        <v>22</v>
      </c>
      <c r="M524" s="10" t="n">
        <v>268686869</v>
      </c>
      <c r="N524" s="10" t="n">
        <v>0</v>
      </c>
      <c r="O524" s="11" t="n">
        <f aca="false">ROUND((M524+N524)*0.18,0)</f>
        <v>48363636</v>
      </c>
      <c r="P524" s="11" t="n">
        <f aca="false">M524+N524+O524</f>
        <v>317050505</v>
      </c>
      <c r="Q524" s="9" t="s">
        <v>865</v>
      </c>
      <c r="R524" s="8" t="s">
        <v>303</v>
      </c>
      <c r="S524" s="8" t="s">
        <v>293</v>
      </c>
    </row>
    <row r="525" customFormat="false" ht="15" hidden="false" customHeight="false" outlineLevel="0" collapsed="false">
      <c r="B525" s="8" t="s">
        <v>236</v>
      </c>
      <c r="C525" s="8" t="s">
        <v>310</v>
      </c>
      <c r="D525" s="9" t="s">
        <v>447</v>
      </c>
      <c r="E525" s="8" t="s">
        <v>299</v>
      </c>
      <c r="F525" s="8" t="s">
        <v>318</v>
      </c>
      <c r="G525" s="9" t="s">
        <v>450</v>
      </c>
      <c r="H525" s="21" t="n">
        <v>8</v>
      </c>
      <c r="I525" s="8" t="s">
        <v>288</v>
      </c>
      <c r="J525" s="8" t="s">
        <v>315</v>
      </c>
      <c r="K525" s="21" t="n">
        <v>23</v>
      </c>
      <c r="L525" s="21" t="n">
        <v>30</v>
      </c>
      <c r="M525" s="10" t="n">
        <v>268686869</v>
      </c>
      <c r="N525" s="10" t="n">
        <v>0</v>
      </c>
      <c r="O525" s="11" t="n">
        <f aca="false">ROUND((M525+N525)*0.18,0)</f>
        <v>48363636</v>
      </c>
      <c r="P525" s="11" t="n">
        <f aca="false">M525+N525+O525</f>
        <v>317050505</v>
      </c>
      <c r="Q525" s="9" t="s">
        <v>865</v>
      </c>
      <c r="R525" s="8" t="s">
        <v>303</v>
      </c>
      <c r="S525" s="8" t="s">
        <v>293</v>
      </c>
    </row>
    <row r="526" customFormat="false" ht="15" hidden="false" customHeight="false" outlineLevel="0" collapsed="false">
      <c r="B526" s="8" t="s">
        <v>236</v>
      </c>
      <c r="C526" s="8" t="s">
        <v>310</v>
      </c>
      <c r="D526" s="9" t="s">
        <v>447</v>
      </c>
      <c r="E526" s="8" t="s">
        <v>299</v>
      </c>
      <c r="F526" s="8" t="s">
        <v>451</v>
      </c>
      <c r="G526" s="9" t="s">
        <v>452</v>
      </c>
      <c r="H526" s="21" t="n">
        <v>12</v>
      </c>
      <c r="I526" s="8" t="s">
        <v>288</v>
      </c>
      <c r="J526" s="8" t="s">
        <v>318</v>
      </c>
      <c r="K526" s="21" t="n">
        <v>31</v>
      </c>
      <c r="L526" s="21" t="n">
        <v>42</v>
      </c>
      <c r="M526" s="10" t="n">
        <v>268686869</v>
      </c>
      <c r="N526" s="10" t="n">
        <v>0</v>
      </c>
      <c r="O526" s="11" t="n">
        <f aca="false">ROUND((M526+N526)*0.18,0)</f>
        <v>48363636</v>
      </c>
      <c r="P526" s="11" t="n">
        <f aca="false">M526+N526+O526</f>
        <v>317050505</v>
      </c>
      <c r="Q526" s="9" t="s">
        <v>865</v>
      </c>
      <c r="R526" s="8" t="s">
        <v>303</v>
      </c>
      <c r="S526" s="8" t="s">
        <v>293</v>
      </c>
    </row>
    <row r="527" customFormat="false" ht="15" hidden="false" customHeight="false" outlineLevel="0" collapsed="false">
      <c r="B527" s="8" t="s">
        <v>236</v>
      </c>
      <c r="C527" s="8" t="s">
        <v>320</v>
      </c>
      <c r="D527" s="9" t="s">
        <v>453</v>
      </c>
      <c r="E527" s="8" t="s">
        <v>454</v>
      </c>
      <c r="F527" s="8" t="s">
        <v>323</v>
      </c>
      <c r="G527" s="9" t="s">
        <v>455</v>
      </c>
      <c r="H527" s="21" t="n">
        <v>6</v>
      </c>
      <c r="I527" s="8" t="s">
        <v>288</v>
      </c>
      <c r="J527" s="8" t="s">
        <v>315</v>
      </c>
      <c r="K527" s="21" t="n">
        <v>23</v>
      </c>
      <c r="L527" s="21" t="n">
        <v>28</v>
      </c>
      <c r="M527" s="10" t="n">
        <v>67878788</v>
      </c>
      <c r="N527" s="10" t="n">
        <v>4930424</v>
      </c>
      <c r="O527" s="11" t="n">
        <f aca="false">ROUND((M527+N527)*0.18,0)</f>
        <v>13105658</v>
      </c>
      <c r="P527" s="11" t="n">
        <f aca="false">M527+N527+O527</f>
        <v>85914870</v>
      </c>
      <c r="Q527" s="9" t="s">
        <v>865</v>
      </c>
      <c r="R527" s="8" t="s">
        <v>303</v>
      </c>
      <c r="S527" s="8" t="s">
        <v>293</v>
      </c>
    </row>
    <row r="528" customFormat="false" ht="15" hidden="false" customHeight="false" outlineLevel="0" collapsed="false">
      <c r="B528" s="8" t="s">
        <v>236</v>
      </c>
      <c r="C528" s="8" t="s">
        <v>320</v>
      </c>
      <c r="D528" s="9" t="s">
        <v>453</v>
      </c>
      <c r="E528" s="8" t="s">
        <v>454</v>
      </c>
      <c r="F528" s="8" t="s">
        <v>326</v>
      </c>
      <c r="G528" s="9" t="s">
        <v>456</v>
      </c>
      <c r="H528" s="21" t="n">
        <v>2</v>
      </c>
      <c r="I528" s="8" t="s">
        <v>288</v>
      </c>
      <c r="J528" s="8" t="s">
        <v>323</v>
      </c>
      <c r="K528" s="21" t="n">
        <v>29</v>
      </c>
      <c r="L528" s="21" t="n">
        <v>30</v>
      </c>
      <c r="M528" s="10" t="n">
        <v>67878788</v>
      </c>
      <c r="N528" s="10" t="n">
        <v>4930424</v>
      </c>
      <c r="O528" s="11" t="n">
        <f aca="false">ROUND((M528+N528)*0.18,0)</f>
        <v>13105658</v>
      </c>
      <c r="P528" s="11" t="n">
        <f aca="false">M528+N528+O528</f>
        <v>85914870</v>
      </c>
      <c r="Q528" s="9" t="s">
        <v>865</v>
      </c>
      <c r="R528" s="8" t="s">
        <v>303</v>
      </c>
      <c r="S528" s="8" t="s">
        <v>293</v>
      </c>
    </row>
    <row r="529" customFormat="false" ht="15" hidden="false" customHeight="false" outlineLevel="0" collapsed="false">
      <c r="B529" s="8" t="s">
        <v>236</v>
      </c>
      <c r="C529" s="8" t="s">
        <v>320</v>
      </c>
      <c r="D529" s="9" t="s">
        <v>453</v>
      </c>
      <c r="E529" s="8" t="s">
        <v>454</v>
      </c>
      <c r="F529" s="8" t="s">
        <v>329</v>
      </c>
      <c r="G529" s="9" t="s">
        <v>400</v>
      </c>
      <c r="H529" s="21" t="n">
        <v>3</v>
      </c>
      <c r="I529" s="8" t="s">
        <v>384</v>
      </c>
      <c r="J529" s="8" t="s">
        <v>326</v>
      </c>
      <c r="K529" s="21" t="n">
        <v>29</v>
      </c>
      <c r="L529" s="21" t="n">
        <v>31</v>
      </c>
      <c r="M529" s="10" t="n">
        <v>67878788</v>
      </c>
      <c r="N529" s="10" t="n">
        <v>4930424</v>
      </c>
      <c r="O529" s="11" t="n">
        <f aca="false">ROUND((M529+N529)*0.18,0)</f>
        <v>13105658</v>
      </c>
      <c r="P529" s="11" t="n">
        <f aca="false">M529+N529+O529</f>
        <v>85914870</v>
      </c>
      <c r="Q529" s="9" t="s">
        <v>865</v>
      </c>
      <c r="R529" s="8" t="s">
        <v>303</v>
      </c>
      <c r="S529" s="8" t="s">
        <v>293</v>
      </c>
    </row>
    <row r="530" customFormat="false" ht="15" hidden="false" customHeight="false" outlineLevel="0" collapsed="false">
      <c r="B530" s="8" t="s">
        <v>236</v>
      </c>
      <c r="C530" s="8" t="s">
        <v>320</v>
      </c>
      <c r="D530" s="9" t="s">
        <v>453</v>
      </c>
      <c r="E530" s="8" t="s">
        <v>454</v>
      </c>
      <c r="F530" s="8" t="s">
        <v>332</v>
      </c>
      <c r="G530" s="9" t="s">
        <v>457</v>
      </c>
      <c r="H530" s="21" t="n">
        <v>3</v>
      </c>
      <c r="I530" s="8" t="s">
        <v>288</v>
      </c>
      <c r="J530" s="8" t="s">
        <v>326</v>
      </c>
      <c r="K530" s="21" t="n">
        <v>31</v>
      </c>
      <c r="L530" s="21" t="n">
        <v>33</v>
      </c>
      <c r="M530" s="10" t="n">
        <v>67878788</v>
      </c>
      <c r="N530" s="10" t="n">
        <v>4930424</v>
      </c>
      <c r="O530" s="11" t="n">
        <f aca="false">ROUND((M530+N530)*0.18,0)</f>
        <v>13105658</v>
      </c>
      <c r="P530" s="11" t="n">
        <f aca="false">M530+N530+O530</f>
        <v>85914870</v>
      </c>
      <c r="Q530" s="9" t="s">
        <v>865</v>
      </c>
      <c r="R530" s="8" t="s">
        <v>303</v>
      </c>
      <c r="S530" s="8" t="s">
        <v>293</v>
      </c>
    </row>
    <row r="531" customFormat="false" ht="15" hidden="false" customHeight="false" outlineLevel="0" collapsed="false">
      <c r="B531" s="8" t="s">
        <v>236</v>
      </c>
      <c r="C531" s="8" t="s">
        <v>320</v>
      </c>
      <c r="D531" s="9" t="s">
        <v>453</v>
      </c>
      <c r="E531" s="8" t="s">
        <v>454</v>
      </c>
      <c r="F531" s="8" t="s">
        <v>458</v>
      </c>
      <c r="G531" s="9" t="s">
        <v>459</v>
      </c>
      <c r="H531" s="21" t="n">
        <v>2</v>
      </c>
      <c r="I531" s="8" t="s">
        <v>288</v>
      </c>
      <c r="J531" s="8" t="s">
        <v>332</v>
      </c>
      <c r="K531" s="21" t="n">
        <v>34</v>
      </c>
      <c r="L531" s="21" t="n">
        <v>35</v>
      </c>
      <c r="M531" s="10" t="n">
        <v>67878788</v>
      </c>
      <c r="N531" s="10" t="n">
        <v>4930424</v>
      </c>
      <c r="O531" s="11" t="n">
        <f aca="false">ROUND((M531+N531)*0.18,0)</f>
        <v>13105658</v>
      </c>
      <c r="P531" s="11" t="n">
        <f aca="false">M531+N531+O531</f>
        <v>85914870</v>
      </c>
      <c r="Q531" s="9" t="s">
        <v>865</v>
      </c>
      <c r="R531" s="8" t="s">
        <v>303</v>
      </c>
      <c r="S531" s="8" t="s">
        <v>293</v>
      </c>
    </row>
    <row r="532" customFormat="false" ht="15" hidden="false" customHeight="false" outlineLevel="0" collapsed="false">
      <c r="B532" s="8" t="s">
        <v>236</v>
      </c>
      <c r="C532" s="8" t="s">
        <v>335</v>
      </c>
      <c r="D532" s="9" t="s">
        <v>460</v>
      </c>
      <c r="E532" s="8" t="s">
        <v>454</v>
      </c>
      <c r="F532" s="8" t="s">
        <v>337</v>
      </c>
      <c r="G532" s="9" t="s">
        <v>455</v>
      </c>
      <c r="H532" s="21" t="n">
        <v>8</v>
      </c>
      <c r="I532" s="8" t="s">
        <v>288</v>
      </c>
      <c r="J532" s="8" t="s">
        <v>451</v>
      </c>
      <c r="K532" s="21" t="n">
        <v>43</v>
      </c>
      <c r="L532" s="21" t="n">
        <v>50</v>
      </c>
      <c r="M532" s="10" t="n">
        <v>122558922</v>
      </c>
      <c r="N532" s="10" t="n">
        <v>9586935</v>
      </c>
      <c r="O532" s="11" t="n">
        <f aca="false">ROUND((M532+N532)*0.18,0)</f>
        <v>23786254</v>
      </c>
      <c r="P532" s="11" t="n">
        <f aca="false">M532+N532+O532</f>
        <v>155932111</v>
      </c>
      <c r="Q532" s="9" t="s">
        <v>865</v>
      </c>
      <c r="R532" s="8" t="s">
        <v>303</v>
      </c>
      <c r="S532" s="8" t="s">
        <v>293</v>
      </c>
    </row>
    <row r="533" customFormat="false" ht="15" hidden="false" customHeight="false" outlineLevel="0" collapsed="false">
      <c r="B533" s="8" t="s">
        <v>236</v>
      </c>
      <c r="C533" s="8" t="s">
        <v>335</v>
      </c>
      <c r="D533" s="9" t="s">
        <v>460</v>
      </c>
      <c r="E533" s="8" t="s">
        <v>454</v>
      </c>
      <c r="F533" s="8" t="s">
        <v>340</v>
      </c>
      <c r="G533" s="9" t="s">
        <v>400</v>
      </c>
      <c r="H533" s="21" t="n">
        <v>5</v>
      </c>
      <c r="I533" s="8" t="s">
        <v>288</v>
      </c>
      <c r="J533" s="8" t="s">
        <v>337</v>
      </c>
      <c r="K533" s="21" t="n">
        <v>51</v>
      </c>
      <c r="L533" s="21" t="n">
        <v>55</v>
      </c>
      <c r="M533" s="10" t="n">
        <v>122558922</v>
      </c>
      <c r="N533" s="10" t="n">
        <v>9586935</v>
      </c>
      <c r="O533" s="11" t="n">
        <f aca="false">ROUND((M533+N533)*0.18,0)</f>
        <v>23786254</v>
      </c>
      <c r="P533" s="11" t="n">
        <f aca="false">M533+N533+O533</f>
        <v>155932111</v>
      </c>
      <c r="Q533" s="9" t="s">
        <v>865</v>
      </c>
      <c r="R533" s="8" t="s">
        <v>303</v>
      </c>
      <c r="S533" s="8" t="s">
        <v>293</v>
      </c>
    </row>
    <row r="534" customFormat="false" ht="15" hidden="false" customHeight="false" outlineLevel="0" collapsed="false">
      <c r="B534" s="8" t="s">
        <v>236</v>
      </c>
      <c r="C534" s="8" t="s">
        <v>335</v>
      </c>
      <c r="D534" s="9" t="s">
        <v>460</v>
      </c>
      <c r="E534" s="8" t="s">
        <v>454</v>
      </c>
      <c r="F534" s="8" t="s">
        <v>341</v>
      </c>
      <c r="G534" s="9" t="s">
        <v>457</v>
      </c>
      <c r="H534" s="21" t="n">
        <v>4</v>
      </c>
      <c r="I534" s="8" t="s">
        <v>384</v>
      </c>
      <c r="J534" s="8" t="s">
        <v>340</v>
      </c>
      <c r="K534" s="21" t="n">
        <v>51</v>
      </c>
      <c r="L534" s="21" t="n">
        <v>54</v>
      </c>
      <c r="M534" s="10" t="n">
        <v>122558922</v>
      </c>
      <c r="N534" s="10" t="n">
        <v>9586935</v>
      </c>
      <c r="O534" s="11" t="n">
        <f aca="false">ROUND((M534+N534)*0.18,0)</f>
        <v>23786254</v>
      </c>
      <c r="P534" s="11" t="n">
        <f aca="false">M534+N534+O534</f>
        <v>155932111</v>
      </c>
      <c r="Q534" s="9" t="s">
        <v>865</v>
      </c>
      <c r="R534" s="8" t="s">
        <v>303</v>
      </c>
      <c r="S534" s="8" t="s">
        <v>293</v>
      </c>
    </row>
    <row r="535" customFormat="false" ht="15" hidden="false" customHeight="false" outlineLevel="0" collapsed="false">
      <c r="B535" s="8" t="s">
        <v>236</v>
      </c>
      <c r="C535" s="8" t="s">
        <v>335</v>
      </c>
      <c r="D535" s="9" t="s">
        <v>460</v>
      </c>
      <c r="E535" s="8" t="s">
        <v>454</v>
      </c>
      <c r="F535" s="8" t="s">
        <v>461</v>
      </c>
      <c r="G535" s="9" t="s">
        <v>462</v>
      </c>
      <c r="H535" s="21" t="n">
        <v>5</v>
      </c>
      <c r="I535" s="8" t="s">
        <v>288</v>
      </c>
      <c r="J535" s="8" t="s">
        <v>340</v>
      </c>
      <c r="K535" s="21" t="n">
        <v>56</v>
      </c>
      <c r="L535" s="21" t="n">
        <v>60</v>
      </c>
      <c r="M535" s="10" t="n">
        <v>122558922</v>
      </c>
      <c r="N535" s="10" t="n">
        <v>9586935</v>
      </c>
      <c r="O535" s="11" t="n">
        <f aca="false">ROUND((M535+N535)*0.18,0)</f>
        <v>23786254</v>
      </c>
      <c r="P535" s="11" t="n">
        <f aca="false">M535+N535+O535</f>
        <v>155932111</v>
      </c>
      <c r="Q535" s="9" t="s">
        <v>865</v>
      </c>
      <c r="R535" s="8" t="s">
        <v>303</v>
      </c>
      <c r="S535" s="8" t="s">
        <v>293</v>
      </c>
    </row>
    <row r="536" customFormat="false" ht="15" hidden="false" customHeight="false" outlineLevel="0" collapsed="false">
      <c r="B536" s="8" t="s">
        <v>236</v>
      </c>
      <c r="C536" s="8" t="s">
        <v>335</v>
      </c>
      <c r="D536" s="9" t="s">
        <v>460</v>
      </c>
      <c r="E536" s="8" t="s">
        <v>454</v>
      </c>
      <c r="F536" s="8" t="s">
        <v>463</v>
      </c>
      <c r="G536" s="9" t="s">
        <v>464</v>
      </c>
      <c r="H536" s="21" t="n">
        <v>4</v>
      </c>
      <c r="I536" s="8" t="s">
        <v>288</v>
      </c>
      <c r="J536" s="8" t="s">
        <v>461</v>
      </c>
      <c r="K536" s="21" t="n">
        <v>61</v>
      </c>
      <c r="L536" s="21" t="n">
        <v>64</v>
      </c>
      <c r="M536" s="10" t="n">
        <v>122558922</v>
      </c>
      <c r="N536" s="10" t="n">
        <v>9586935</v>
      </c>
      <c r="O536" s="11" t="n">
        <f aca="false">ROUND((M536+N536)*0.18,0)</f>
        <v>23786254</v>
      </c>
      <c r="P536" s="11" t="n">
        <f aca="false">M536+N536+O536</f>
        <v>155932111</v>
      </c>
      <c r="Q536" s="9" t="s">
        <v>865</v>
      </c>
      <c r="R536" s="8" t="s">
        <v>303</v>
      </c>
      <c r="S536" s="8" t="s">
        <v>293</v>
      </c>
    </row>
    <row r="537" customFormat="false" ht="15" hidden="false" customHeight="false" outlineLevel="0" collapsed="false">
      <c r="B537" s="8" t="s">
        <v>236</v>
      </c>
      <c r="C537" s="8" t="s">
        <v>335</v>
      </c>
      <c r="D537" s="9" t="s">
        <v>460</v>
      </c>
      <c r="E537" s="8" t="s">
        <v>454</v>
      </c>
      <c r="F537" s="8" t="s">
        <v>465</v>
      </c>
      <c r="G537" s="9" t="s">
        <v>466</v>
      </c>
      <c r="H537" s="21" t="n">
        <v>3</v>
      </c>
      <c r="I537" s="8" t="s">
        <v>288</v>
      </c>
      <c r="J537" s="8" t="s">
        <v>463</v>
      </c>
      <c r="K537" s="21" t="n">
        <v>65</v>
      </c>
      <c r="L537" s="21" t="n">
        <v>67</v>
      </c>
      <c r="M537" s="10" t="n">
        <v>122558924</v>
      </c>
      <c r="N537" s="10" t="n">
        <v>9586940</v>
      </c>
      <c r="O537" s="11" t="n">
        <f aca="false">ROUND((M537+N537)*0.18,0)</f>
        <v>23786256</v>
      </c>
      <c r="P537" s="11" t="n">
        <f aca="false">M537+N537+O537</f>
        <v>155932120</v>
      </c>
      <c r="Q537" s="9" t="s">
        <v>865</v>
      </c>
      <c r="R537" s="8" t="s">
        <v>303</v>
      </c>
      <c r="S537" s="8" t="s">
        <v>293</v>
      </c>
    </row>
    <row r="538" customFormat="false" ht="15" hidden="false" customHeight="false" outlineLevel="0" collapsed="false">
      <c r="B538" s="8" t="s">
        <v>236</v>
      </c>
      <c r="C538" s="8" t="s">
        <v>343</v>
      </c>
      <c r="D538" s="9" t="s">
        <v>467</v>
      </c>
      <c r="E538" s="8" t="s">
        <v>361</v>
      </c>
      <c r="F538" s="8" t="s">
        <v>346</v>
      </c>
      <c r="G538" s="9" t="s">
        <v>468</v>
      </c>
      <c r="H538" s="21" t="n">
        <v>4</v>
      </c>
      <c r="I538" s="8" t="s">
        <v>288</v>
      </c>
      <c r="J538" s="8" t="s">
        <v>445</v>
      </c>
      <c r="K538" s="21" t="n">
        <v>15</v>
      </c>
      <c r="L538" s="21" t="n">
        <v>18</v>
      </c>
      <c r="M538" s="10" t="n">
        <v>42424242</v>
      </c>
      <c r="N538" s="10" t="n">
        <v>0</v>
      </c>
      <c r="O538" s="11" t="n">
        <f aca="false">ROUND((M538+N538)*0.18,0)</f>
        <v>7636364</v>
      </c>
      <c r="P538" s="11" t="n">
        <f aca="false">M538+N538+O538</f>
        <v>50060606</v>
      </c>
      <c r="Q538" s="9" t="s">
        <v>865</v>
      </c>
      <c r="R538" s="8" t="s">
        <v>303</v>
      </c>
      <c r="S538" s="8" t="s">
        <v>293</v>
      </c>
    </row>
    <row r="539" customFormat="false" ht="15" hidden="false" customHeight="false" outlineLevel="0" collapsed="false">
      <c r="B539" s="8" t="s">
        <v>236</v>
      </c>
      <c r="C539" s="8" t="s">
        <v>343</v>
      </c>
      <c r="D539" s="9" t="s">
        <v>467</v>
      </c>
      <c r="E539" s="8" t="s">
        <v>361</v>
      </c>
      <c r="F539" s="8" t="s">
        <v>348</v>
      </c>
      <c r="G539" s="9" t="s">
        <v>469</v>
      </c>
      <c r="H539" s="21" t="n">
        <v>4</v>
      </c>
      <c r="I539" s="8" t="s">
        <v>288</v>
      </c>
      <c r="J539" s="8" t="s">
        <v>445</v>
      </c>
      <c r="K539" s="21" t="n">
        <v>15</v>
      </c>
      <c r="L539" s="21" t="n">
        <v>18</v>
      </c>
      <c r="M539" s="10" t="n">
        <v>42424242</v>
      </c>
      <c r="N539" s="10" t="n">
        <v>0</v>
      </c>
      <c r="O539" s="11" t="n">
        <f aca="false">ROUND((M539+N539)*0.18,0)</f>
        <v>7636364</v>
      </c>
      <c r="P539" s="11" t="n">
        <f aca="false">M539+N539+O539</f>
        <v>50060606</v>
      </c>
      <c r="Q539" s="9" t="s">
        <v>865</v>
      </c>
      <c r="R539" s="8" t="s">
        <v>303</v>
      </c>
      <c r="S539" s="8" t="s">
        <v>293</v>
      </c>
    </row>
    <row r="540" customFormat="false" ht="15" hidden="false" customHeight="false" outlineLevel="0" collapsed="false">
      <c r="B540" s="8" t="s">
        <v>236</v>
      </c>
      <c r="C540" s="8" t="s">
        <v>343</v>
      </c>
      <c r="D540" s="9" t="s">
        <v>467</v>
      </c>
      <c r="E540" s="8" t="s">
        <v>361</v>
      </c>
      <c r="F540" s="8" t="s">
        <v>403</v>
      </c>
      <c r="G540" s="9" t="s">
        <v>470</v>
      </c>
      <c r="H540" s="21" t="n">
        <v>3</v>
      </c>
      <c r="I540" s="8" t="s">
        <v>384</v>
      </c>
      <c r="J540" s="8" t="s">
        <v>348</v>
      </c>
      <c r="K540" s="21" t="n">
        <v>15</v>
      </c>
      <c r="L540" s="21" t="n">
        <v>17</v>
      </c>
      <c r="M540" s="10" t="n">
        <v>42424242</v>
      </c>
      <c r="N540" s="10" t="n">
        <v>0</v>
      </c>
      <c r="O540" s="11" t="n">
        <f aca="false">ROUND((M540+N540)*0.18,0)</f>
        <v>7636364</v>
      </c>
      <c r="P540" s="11" t="n">
        <f aca="false">M540+N540+O540</f>
        <v>50060606</v>
      </c>
      <c r="Q540" s="9" t="s">
        <v>865</v>
      </c>
      <c r="R540" s="8" t="s">
        <v>303</v>
      </c>
      <c r="S540" s="8" t="s">
        <v>293</v>
      </c>
    </row>
    <row r="541" customFormat="false" ht="15" hidden="false" customHeight="false" outlineLevel="0" collapsed="false">
      <c r="B541" s="8" t="s">
        <v>236</v>
      </c>
      <c r="C541" s="8" t="s">
        <v>343</v>
      </c>
      <c r="D541" s="9" t="s">
        <v>467</v>
      </c>
      <c r="E541" s="8" t="s">
        <v>361</v>
      </c>
      <c r="F541" s="8" t="s">
        <v>471</v>
      </c>
      <c r="G541" s="9" t="s">
        <v>472</v>
      </c>
      <c r="H541" s="21" t="n">
        <v>2</v>
      </c>
      <c r="I541" s="8" t="s">
        <v>288</v>
      </c>
      <c r="J541" s="8" t="s">
        <v>346</v>
      </c>
      <c r="K541" s="21" t="n">
        <v>19</v>
      </c>
      <c r="L541" s="21" t="n">
        <v>20</v>
      </c>
      <c r="M541" s="10" t="n">
        <v>42424242</v>
      </c>
      <c r="N541" s="10" t="n">
        <v>0</v>
      </c>
      <c r="O541" s="11" t="n">
        <f aca="false">ROUND((M541+N541)*0.18,0)</f>
        <v>7636364</v>
      </c>
      <c r="P541" s="11" t="n">
        <f aca="false">M541+N541+O541</f>
        <v>50060606</v>
      </c>
      <c r="Q541" s="9" t="s">
        <v>865</v>
      </c>
      <c r="R541" s="8" t="s">
        <v>303</v>
      </c>
      <c r="S541" s="8" t="s">
        <v>293</v>
      </c>
    </row>
    <row r="542" customFormat="false" ht="15" hidden="false" customHeight="false" outlineLevel="0" collapsed="false">
      <c r="B542" s="8" t="s">
        <v>236</v>
      </c>
      <c r="C542" s="8" t="s">
        <v>351</v>
      </c>
      <c r="D542" s="9" t="s">
        <v>473</v>
      </c>
      <c r="E542" s="8" t="s">
        <v>361</v>
      </c>
      <c r="F542" s="8" t="s">
        <v>353</v>
      </c>
      <c r="G542" s="9" t="s">
        <v>474</v>
      </c>
      <c r="H542" s="21" t="n">
        <v>3</v>
      </c>
      <c r="I542" s="8" t="s">
        <v>288</v>
      </c>
      <c r="J542" s="8" t="s">
        <v>465</v>
      </c>
      <c r="K542" s="21" t="n">
        <v>68</v>
      </c>
      <c r="L542" s="21" t="n">
        <v>70</v>
      </c>
      <c r="M542" s="10" t="n">
        <v>28282828</v>
      </c>
      <c r="N542" s="10" t="n">
        <v>0</v>
      </c>
      <c r="O542" s="11" t="n">
        <f aca="false">ROUND((M542+N542)*0.18,0)</f>
        <v>5090909</v>
      </c>
      <c r="P542" s="11" t="n">
        <f aca="false">M542+N542+O542</f>
        <v>33373737</v>
      </c>
      <c r="Q542" s="9" t="s">
        <v>865</v>
      </c>
      <c r="R542" s="8" t="s">
        <v>303</v>
      </c>
      <c r="S542" s="8" t="s">
        <v>293</v>
      </c>
    </row>
    <row r="543" customFormat="false" ht="15" hidden="false" customHeight="false" outlineLevel="0" collapsed="false">
      <c r="B543" s="8" t="s">
        <v>236</v>
      </c>
      <c r="C543" s="8" t="s">
        <v>351</v>
      </c>
      <c r="D543" s="9" t="s">
        <v>473</v>
      </c>
      <c r="E543" s="8" t="s">
        <v>361</v>
      </c>
      <c r="F543" s="8" t="s">
        <v>356</v>
      </c>
      <c r="G543" s="9" t="s">
        <v>475</v>
      </c>
      <c r="H543" s="21" t="n">
        <v>2</v>
      </c>
      <c r="I543" s="8" t="s">
        <v>288</v>
      </c>
      <c r="J543" s="8" t="s">
        <v>353</v>
      </c>
      <c r="K543" s="21" t="n">
        <v>71</v>
      </c>
      <c r="L543" s="21" t="n">
        <v>72</v>
      </c>
      <c r="M543" s="10" t="n">
        <v>28282828</v>
      </c>
      <c r="N543" s="10" t="n">
        <v>0</v>
      </c>
      <c r="O543" s="11" t="n">
        <f aca="false">ROUND((M543+N543)*0.18,0)</f>
        <v>5090909</v>
      </c>
      <c r="P543" s="11" t="n">
        <f aca="false">M543+N543+O543</f>
        <v>33373737</v>
      </c>
      <c r="Q543" s="9" t="s">
        <v>865</v>
      </c>
      <c r="R543" s="8" t="s">
        <v>303</v>
      </c>
      <c r="S543" s="8" t="s">
        <v>293</v>
      </c>
    </row>
    <row r="544" customFormat="false" ht="15" hidden="false" customHeight="false" outlineLevel="0" collapsed="false">
      <c r="B544" s="8" t="s">
        <v>236</v>
      </c>
      <c r="C544" s="8" t="s">
        <v>351</v>
      </c>
      <c r="D544" s="9" t="s">
        <v>473</v>
      </c>
      <c r="E544" s="8" t="s">
        <v>361</v>
      </c>
      <c r="F544" s="8" t="s">
        <v>408</v>
      </c>
      <c r="G544" s="9" t="s">
        <v>476</v>
      </c>
      <c r="H544" s="21" t="n">
        <v>3</v>
      </c>
      <c r="I544" s="8" t="s">
        <v>288</v>
      </c>
      <c r="J544" s="8" t="s">
        <v>356</v>
      </c>
      <c r="K544" s="21" t="n">
        <v>73</v>
      </c>
      <c r="L544" s="21" t="n">
        <v>75</v>
      </c>
      <c r="M544" s="10" t="n">
        <v>28282828</v>
      </c>
      <c r="N544" s="10" t="n">
        <v>0</v>
      </c>
      <c r="O544" s="11" t="n">
        <f aca="false">ROUND((M544+N544)*0.18,0)</f>
        <v>5090909</v>
      </c>
      <c r="P544" s="11" t="n">
        <f aca="false">M544+N544+O544</f>
        <v>33373737</v>
      </c>
      <c r="Q544" s="9" t="s">
        <v>865</v>
      </c>
      <c r="R544" s="8" t="s">
        <v>303</v>
      </c>
      <c r="S544" s="8" t="s">
        <v>293</v>
      </c>
    </row>
    <row r="545" customFormat="false" ht="15" hidden="false" customHeight="false" outlineLevel="0" collapsed="false">
      <c r="B545" s="8" t="s">
        <v>236</v>
      </c>
      <c r="C545" s="8" t="s">
        <v>351</v>
      </c>
      <c r="D545" s="9" t="s">
        <v>473</v>
      </c>
      <c r="E545" s="8" t="s">
        <v>361</v>
      </c>
      <c r="F545" s="8" t="s">
        <v>410</v>
      </c>
      <c r="G545" s="9" t="s">
        <v>477</v>
      </c>
      <c r="H545" s="21" t="n">
        <v>2</v>
      </c>
      <c r="I545" s="8" t="s">
        <v>288</v>
      </c>
      <c r="J545" s="8" t="s">
        <v>408</v>
      </c>
      <c r="K545" s="21" t="n">
        <v>76</v>
      </c>
      <c r="L545" s="21" t="n">
        <v>77</v>
      </c>
      <c r="M545" s="10" t="n">
        <v>28282830</v>
      </c>
      <c r="N545" s="10" t="n">
        <v>0</v>
      </c>
      <c r="O545" s="11" t="n">
        <f aca="false">ROUND((M545+N545)*0.18,0)</f>
        <v>5090909</v>
      </c>
      <c r="P545" s="11" t="n">
        <f aca="false">M545+N545+O545</f>
        <v>33373739</v>
      </c>
      <c r="Q545" s="9" t="s">
        <v>865</v>
      </c>
      <c r="R545" s="8" t="s">
        <v>303</v>
      </c>
      <c r="S545" s="8" t="s">
        <v>293</v>
      </c>
    </row>
    <row r="546" customFormat="false" ht="15" hidden="false" customHeight="false" outlineLevel="0" collapsed="false">
      <c r="B546" s="8" t="s">
        <v>242</v>
      </c>
      <c r="C546" s="8" t="s">
        <v>279</v>
      </c>
      <c r="D546" s="9" t="s">
        <v>478</v>
      </c>
      <c r="E546" s="8" t="s">
        <v>81</v>
      </c>
      <c r="F546" s="8" t="s">
        <v>281</v>
      </c>
      <c r="G546" s="9" t="s">
        <v>479</v>
      </c>
      <c r="H546" s="21" t="n">
        <v>6</v>
      </c>
      <c r="I546" s="8"/>
      <c r="J546" s="8"/>
      <c r="K546" s="21" t="n">
        <v>1</v>
      </c>
      <c r="L546" s="21" t="n">
        <v>6</v>
      </c>
      <c r="M546" s="10" t="n">
        <v>18000000</v>
      </c>
      <c r="N546" s="10" t="n">
        <v>0</v>
      </c>
      <c r="O546" s="11" t="n">
        <f aca="false">ROUND((M546+N546)*0.18,0)</f>
        <v>3240000</v>
      </c>
      <c r="P546" s="11" t="n">
        <f aca="false">M546+N546+O546</f>
        <v>21240000</v>
      </c>
      <c r="Q546" s="9" t="s">
        <v>888</v>
      </c>
      <c r="R546" s="8" t="s">
        <v>303</v>
      </c>
      <c r="S546" s="8" t="s">
        <v>293</v>
      </c>
    </row>
    <row r="547" customFormat="false" ht="15" hidden="false" customHeight="false" outlineLevel="0" collapsed="false">
      <c r="B547" s="8" t="s">
        <v>242</v>
      </c>
      <c r="C547" s="8" t="s">
        <v>279</v>
      </c>
      <c r="D547" s="9" t="s">
        <v>478</v>
      </c>
      <c r="E547" s="8" t="s">
        <v>81</v>
      </c>
      <c r="F547" s="8" t="s">
        <v>286</v>
      </c>
      <c r="G547" s="9" t="s">
        <v>480</v>
      </c>
      <c r="H547" s="21" t="n">
        <v>8</v>
      </c>
      <c r="I547" s="8" t="s">
        <v>288</v>
      </c>
      <c r="J547" s="8" t="s">
        <v>281</v>
      </c>
      <c r="K547" s="21" t="n">
        <v>7</v>
      </c>
      <c r="L547" s="21" t="n">
        <v>14</v>
      </c>
      <c r="M547" s="10" t="n">
        <v>18000000</v>
      </c>
      <c r="N547" s="10" t="n">
        <v>0</v>
      </c>
      <c r="O547" s="11" t="n">
        <f aca="false">ROUND((M547+N547)*0.18,0)</f>
        <v>3240000</v>
      </c>
      <c r="P547" s="11" t="n">
        <f aca="false">M547+N547+O547</f>
        <v>21240000</v>
      </c>
      <c r="Q547" s="9" t="s">
        <v>888</v>
      </c>
      <c r="R547" s="8" t="s">
        <v>303</v>
      </c>
      <c r="S547" s="8" t="s">
        <v>293</v>
      </c>
    </row>
    <row r="548" customFormat="false" ht="15" hidden="false" customHeight="false" outlineLevel="0" collapsed="false">
      <c r="B548" s="8" t="s">
        <v>242</v>
      </c>
      <c r="C548" s="8" t="s">
        <v>279</v>
      </c>
      <c r="D548" s="9" t="s">
        <v>478</v>
      </c>
      <c r="E548" s="8" t="s">
        <v>81</v>
      </c>
      <c r="F548" s="8" t="s">
        <v>290</v>
      </c>
      <c r="G548" s="9" t="s">
        <v>481</v>
      </c>
      <c r="H548" s="21" t="n">
        <v>5</v>
      </c>
      <c r="I548" s="8" t="s">
        <v>288</v>
      </c>
      <c r="J548" s="8" t="s">
        <v>281</v>
      </c>
      <c r="K548" s="21" t="n">
        <v>7</v>
      </c>
      <c r="L548" s="21" t="n">
        <v>11</v>
      </c>
      <c r="M548" s="10" t="n">
        <v>18000000</v>
      </c>
      <c r="N548" s="10" t="n">
        <v>0</v>
      </c>
      <c r="O548" s="11" t="n">
        <f aca="false">ROUND((M548+N548)*0.18,0)</f>
        <v>3240000</v>
      </c>
      <c r="P548" s="11" t="n">
        <f aca="false">M548+N548+O548</f>
        <v>21240000</v>
      </c>
      <c r="Q548" s="9" t="s">
        <v>888</v>
      </c>
      <c r="R548" s="8" t="s">
        <v>303</v>
      </c>
      <c r="S548" s="8" t="s">
        <v>293</v>
      </c>
    </row>
    <row r="549" customFormat="false" ht="15" hidden="false" customHeight="false" outlineLevel="0" collapsed="false">
      <c r="B549" s="8" t="s">
        <v>242</v>
      </c>
      <c r="C549" s="8" t="s">
        <v>279</v>
      </c>
      <c r="D549" s="9" t="s">
        <v>478</v>
      </c>
      <c r="E549" s="8" t="s">
        <v>81</v>
      </c>
      <c r="F549" s="8" t="s">
        <v>294</v>
      </c>
      <c r="G549" s="9" t="s">
        <v>439</v>
      </c>
      <c r="H549" s="21" t="n">
        <v>8</v>
      </c>
      <c r="I549" s="8" t="s">
        <v>288</v>
      </c>
      <c r="J549" s="8" t="s">
        <v>290</v>
      </c>
      <c r="K549" s="21" t="n">
        <v>12</v>
      </c>
      <c r="L549" s="21" t="n">
        <v>19</v>
      </c>
      <c r="M549" s="10" t="n">
        <v>18000000</v>
      </c>
      <c r="N549" s="10" t="n">
        <v>0</v>
      </c>
      <c r="O549" s="11" t="n">
        <f aca="false">ROUND((M549+N549)*0.18,0)</f>
        <v>3240000</v>
      </c>
      <c r="P549" s="11" t="n">
        <f aca="false">M549+N549+O549</f>
        <v>21240000</v>
      </c>
      <c r="Q549" s="9" t="s">
        <v>888</v>
      </c>
      <c r="R549" s="8" t="s">
        <v>303</v>
      </c>
      <c r="S549" s="8" t="s">
        <v>293</v>
      </c>
    </row>
    <row r="550" customFormat="false" ht="15" hidden="false" customHeight="false" outlineLevel="0" collapsed="false">
      <c r="B550" s="8" t="s">
        <v>242</v>
      </c>
      <c r="C550" s="8" t="s">
        <v>279</v>
      </c>
      <c r="D550" s="9" t="s">
        <v>478</v>
      </c>
      <c r="E550" s="8" t="s">
        <v>81</v>
      </c>
      <c r="F550" s="8" t="s">
        <v>376</v>
      </c>
      <c r="G550" s="9" t="s">
        <v>440</v>
      </c>
      <c r="H550" s="21" t="n">
        <v>6</v>
      </c>
      <c r="I550" s="8" t="s">
        <v>288</v>
      </c>
      <c r="J550" s="8" t="s">
        <v>290</v>
      </c>
      <c r="K550" s="21" t="n">
        <v>12</v>
      </c>
      <c r="L550" s="21" t="n">
        <v>17</v>
      </c>
      <c r="M550" s="10" t="n">
        <v>18000000</v>
      </c>
      <c r="N550" s="10" t="n">
        <v>0</v>
      </c>
      <c r="O550" s="11" t="n">
        <f aca="false">ROUND((M550+N550)*0.18,0)</f>
        <v>3240000</v>
      </c>
      <c r="P550" s="11" t="n">
        <f aca="false">M550+N550+O550</f>
        <v>21240000</v>
      </c>
      <c r="Q550" s="9" t="s">
        <v>888</v>
      </c>
      <c r="R550" s="8" t="s">
        <v>303</v>
      </c>
      <c r="S550" s="8" t="s">
        <v>293</v>
      </c>
    </row>
    <row r="551" customFormat="false" ht="15" hidden="false" customHeight="false" outlineLevel="0" collapsed="false">
      <c r="B551" s="8" t="s">
        <v>242</v>
      </c>
      <c r="C551" s="8" t="s">
        <v>297</v>
      </c>
      <c r="D551" s="9" t="s">
        <v>482</v>
      </c>
      <c r="E551" s="8" t="s">
        <v>299</v>
      </c>
      <c r="F551" s="8" t="s">
        <v>300</v>
      </c>
      <c r="G551" s="9" t="s">
        <v>442</v>
      </c>
      <c r="H551" s="21" t="n">
        <v>5</v>
      </c>
      <c r="I551" s="8" t="s">
        <v>288</v>
      </c>
      <c r="J551" s="8" t="s">
        <v>294</v>
      </c>
      <c r="K551" s="21" t="n">
        <v>20</v>
      </c>
      <c r="L551" s="21" t="n">
        <v>24</v>
      </c>
      <c r="M551" s="10" t="n">
        <v>45000000</v>
      </c>
      <c r="N551" s="10" t="n">
        <v>0</v>
      </c>
      <c r="O551" s="11" t="n">
        <f aca="false">ROUND((M551+N551)*0.18,0)</f>
        <v>8100000</v>
      </c>
      <c r="P551" s="11" t="n">
        <f aca="false">M551+N551+O551</f>
        <v>53100000</v>
      </c>
      <c r="Q551" s="9" t="s">
        <v>888</v>
      </c>
      <c r="R551" s="8" t="s">
        <v>303</v>
      </c>
      <c r="S551" s="8" t="s">
        <v>293</v>
      </c>
    </row>
    <row r="552" customFormat="false" ht="15" hidden="false" customHeight="false" outlineLevel="0" collapsed="false">
      <c r="B552" s="8" t="s">
        <v>242</v>
      </c>
      <c r="C552" s="8" t="s">
        <v>297</v>
      </c>
      <c r="D552" s="9" t="s">
        <v>482</v>
      </c>
      <c r="E552" s="8" t="s">
        <v>299</v>
      </c>
      <c r="F552" s="8" t="s">
        <v>304</v>
      </c>
      <c r="G552" s="9" t="s">
        <v>483</v>
      </c>
      <c r="H552" s="21" t="n">
        <v>6</v>
      </c>
      <c r="I552" s="8" t="s">
        <v>288</v>
      </c>
      <c r="J552" s="8" t="s">
        <v>300</v>
      </c>
      <c r="K552" s="21" t="n">
        <v>25</v>
      </c>
      <c r="L552" s="21" t="n">
        <v>30</v>
      </c>
      <c r="M552" s="10" t="n">
        <v>45000000</v>
      </c>
      <c r="N552" s="10" t="n">
        <v>0</v>
      </c>
      <c r="O552" s="11" t="n">
        <f aca="false">ROUND((M552+N552)*0.18,0)</f>
        <v>8100000</v>
      </c>
      <c r="P552" s="11" t="n">
        <f aca="false">M552+N552+O552</f>
        <v>53100000</v>
      </c>
      <c r="Q552" s="9" t="s">
        <v>888</v>
      </c>
      <c r="R552" s="8" t="s">
        <v>303</v>
      </c>
      <c r="S552" s="8" t="s">
        <v>293</v>
      </c>
    </row>
    <row r="553" customFormat="false" ht="15" hidden="false" customHeight="false" outlineLevel="0" collapsed="false">
      <c r="B553" s="8" t="s">
        <v>242</v>
      </c>
      <c r="C553" s="8" t="s">
        <v>297</v>
      </c>
      <c r="D553" s="9" t="s">
        <v>482</v>
      </c>
      <c r="E553" s="8" t="s">
        <v>299</v>
      </c>
      <c r="F553" s="8" t="s">
        <v>307</v>
      </c>
      <c r="G553" s="9" t="s">
        <v>484</v>
      </c>
      <c r="H553" s="21" t="n">
        <v>6</v>
      </c>
      <c r="I553" s="8" t="s">
        <v>384</v>
      </c>
      <c r="J553" s="8" t="s">
        <v>304</v>
      </c>
      <c r="K553" s="21" t="n">
        <v>25</v>
      </c>
      <c r="L553" s="21" t="n">
        <v>30</v>
      </c>
      <c r="M553" s="10" t="n">
        <v>45000000</v>
      </c>
      <c r="N553" s="10" t="n">
        <v>0</v>
      </c>
      <c r="O553" s="11" t="n">
        <f aca="false">ROUND((M553+N553)*0.18,0)</f>
        <v>8100000</v>
      </c>
      <c r="P553" s="11" t="n">
        <f aca="false">M553+N553+O553</f>
        <v>53100000</v>
      </c>
      <c r="Q553" s="9" t="s">
        <v>888</v>
      </c>
      <c r="R553" s="8" t="s">
        <v>303</v>
      </c>
      <c r="S553" s="8" t="s">
        <v>293</v>
      </c>
    </row>
    <row r="554" customFormat="false" ht="15" hidden="false" customHeight="false" outlineLevel="0" collapsed="false">
      <c r="B554" s="8" t="s">
        <v>242</v>
      </c>
      <c r="C554" s="8" t="s">
        <v>297</v>
      </c>
      <c r="D554" s="9" t="s">
        <v>482</v>
      </c>
      <c r="E554" s="8" t="s">
        <v>299</v>
      </c>
      <c r="F554" s="8" t="s">
        <v>445</v>
      </c>
      <c r="G554" s="9" t="s">
        <v>485</v>
      </c>
      <c r="H554" s="21" t="n">
        <v>4</v>
      </c>
      <c r="I554" s="8" t="s">
        <v>288</v>
      </c>
      <c r="J554" s="8" t="s">
        <v>300</v>
      </c>
      <c r="K554" s="21" t="n">
        <v>25</v>
      </c>
      <c r="L554" s="21" t="n">
        <v>28</v>
      </c>
      <c r="M554" s="10" t="n">
        <v>45000000</v>
      </c>
      <c r="N554" s="10" t="n">
        <v>0</v>
      </c>
      <c r="O554" s="11" t="n">
        <f aca="false">ROUND((M554+N554)*0.18,0)</f>
        <v>8100000</v>
      </c>
      <c r="P554" s="11" t="n">
        <f aca="false">M554+N554+O554</f>
        <v>53100000</v>
      </c>
      <c r="Q554" s="9" t="s">
        <v>888</v>
      </c>
      <c r="R554" s="8" t="s">
        <v>303</v>
      </c>
      <c r="S554" s="8" t="s">
        <v>293</v>
      </c>
    </row>
    <row r="555" customFormat="false" ht="15" hidden="false" customHeight="false" outlineLevel="0" collapsed="false">
      <c r="B555" s="8" t="s">
        <v>242</v>
      </c>
      <c r="C555" s="8" t="s">
        <v>297</v>
      </c>
      <c r="D555" s="9" t="s">
        <v>482</v>
      </c>
      <c r="E555" s="8" t="s">
        <v>299</v>
      </c>
      <c r="F555" s="8" t="s">
        <v>486</v>
      </c>
      <c r="G555" s="9" t="s">
        <v>487</v>
      </c>
      <c r="H555" s="21" t="n">
        <v>3</v>
      </c>
      <c r="I555" s="8" t="s">
        <v>288</v>
      </c>
      <c r="J555" s="8" t="s">
        <v>445</v>
      </c>
      <c r="K555" s="21" t="n">
        <v>29</v>
      </c>
      <c r="L555" s="21" t="n">
        <v>31</v>
      </c>
      <c r="M555" s="10" t="n">
        <v>45000000</v>
      </c>
      <c r="N555" s="10" t="n">
        <v>0</v>
      </c>
      <c r="O555" s="11" t="n">
        <f aca="false">ROUND((M555+N555)*0.18,0)</f>
        <v>8100000</v>
      </c>
      <c r="P555" s="11" t="n">
        <f aca="false">M555+N555+O555</f>
        <v>53100000</v>
      </c>
      <c r="Q555" s="9" t="s">
        <v>888</v>
      </c>
      <c r="R555" s="8" t="s">
        <v>303</v>
      </c>
      <c r="S555" s="8" t="s">
        <v>293</v>
      </c>
    </row>
    <row r="556" customFormat="false" ht="15" hidden="false" customHeight="false" outlineLevel="0" collapsed="false">
      <c r="B556" s="8" t="s">
        <v>242</v>
      </c>
      <c r="C556" s="8" t="s">
        <v>297</v>
      </c>
      <c r="D556" s="9" t="s">
        <v>482</v>
      </c>
      <c r="E556" s="8" t="s">
        <v>299</v>
      </c>
      <c r="F556" s="8" t="s">
        <v>488</v>
      </c>
      <c r="G556" s="9" t="s">
        <v>489</v>
      </c>
      <c r="H556" s="21" t="n">
        <v>4</v>
      </c>
      <c r="I556" s="8" t="s">
        <v>384</v>
      </c>
      <c r="J556" s="8" t="s">
        <v>304</v>
      </c>
      <c r="K556" s="21" t="n">
        <v>25</v>
      </c>
      <c r="L556" s="21" t="n">
        <v>28</v>
      </c>
      <c r="M556" s="10" t="n">
        <v>45000000</v>
      </c>
      <c r="N556" s="10" t="n">
        <v>0</v>
      </c>
      <c r="O556" s="11" t="n">
        <f aca="false">ROUND((M556+N556)*0.18,0)</f>
        <v>8100000</v>
      </c>
      <c r="P556" s="11" t="n">
        <f aca="false">M556+N556+O556</f>
        <v>53100000</v>
      </c>
      <c r="Q556" s="9" t="s">
        <v>888</v>
      </c>
      <c r="R556" s="8" t="s">
        <v>303</v>
      </c>
      <c r="S556" s="8" t="s">
        <v>293</v>
      </c>
    </row>
    <row r="557" customFormat="false" ht="15" hidden="false" customHeight="false" outlineLevel="0" collapsed="false">
      <c r="B557" s="8" t="s">
        <v>242</v>
      </c>
      <c r="C557" s="8" t="s">
        <v>310</v>
      </c>
      <c r="D557" s="9" t="s">
        <v>490</v>
      </c>
      <c r="E557" s="8" t="s">
        <v>299</v>
      </c>
      <c r="F557" s="8" t="s">
        <v>312</v>
      </c>
      <c r="G557" s="9" t="s">
        <v>491</v>
      </c>
      <c r="H557" s="21" t="n">
        <v>4</v>
      </c>
      <c r="I557" s="8" t="s">
        <v>288</v>
      </c>
      <c r="J557" s="8" t="s">
        <v>300</v>
      </c>
      <c r="K557" s="21" t="n">
        <v>25</v>
      </c>
      <c r="L557" s="21" t="n">
        <v>28</v>
      </c>
      <c r="M557" s="10" t="n">
        <v>127500000</v>
      </c>
      <c r="N557" s="10" t="n">
        <v>0</v>
      </c>
      <c r="O557" s="11" t="n">
        <f aca="false">ROUND((M557+N557)*0.18,0)</f>
        <v>22950000</v>
      </c>
      <c r="P557" s="11" t="n">
        <f aca="false">M557+N557+O557</f>
        <v>150450000</v>
      </c>
      <c r="Q557" s="9" t="s">
        <v>888</v>
      </c>
      <c r="R557" s="8" t="s">
        <v>303</v>
      </c>
      <c r="S557" s="8" t="s">
        <v>293</v>
      </c>
    </row>
    <row r="558" customFormat="false" ht="15" hidden="false" customHeight="false" outlineLevel="0" collapsed="false">
      <c r="B558" s="8" t="s">
        <v>242</v>
      </c>
      <c r="C558" s="8" t="s">
        <v>310</v>
      </c>
      <c r="D558" s="9" t="s">
        <v>490</v>
      </c>
      <c r="E558" s="8" t="s">
        <v>299</v>
      </c>
      <c r="F558" s="8" t="s">
        <v>315</v>
      </c>
      <c r="G558" s="9" t="s">
        <v>492</v>
      </c>
      <c r="H558" s="21" t="n">
        <v>6</v>
      </c>
      <c r="I558" s="8" t="s">
        <v>288</v>
      </c>
      <c r="J558" s="8" t="s">
        <v>312</v>
      </c>
      <c r="K558" s="21" t="n">
        <v>29</v>
      </c>
      <c r="L558" s="21" t="n">
        <v>34</v>
      </c>
      <c r="M558" s="10" t="n">
        <v>127500000</v>
      </c>
      <c r="N558" s="10" t="n">
        <v>0</v>
      </c>
      <c r="O558" s="11" t="n">
        <f aca="false">ROUND((M558+N558)*0.18,0)</f>
        <v>22950000</v>
      </c>
      <c r="P558" s="11" t="n">
        <f aca="false">M558+N558+O558</f>
        <v>150450000</v>
      </c>
      <c r="Q558" s="9" t="s">
        <v>888</v>
      </c>
      <c r="R558" s="8" t="s">
        <v>303</v>
      </c>
      <c r="S558" s="8" t="s">
        <v>293</v>
      </c>
    </row>
    <row r="559" customFormat="false" ht="15" hidden="false" customHeight="false" outlineLevel="0" collapsed="false">
      <c r="B559" s="8" t="s">
        <v>242</v>
      </c>
      <c r="C559" s="8" t="s">
        <v>310</v>
      </c>
      <c r="D559" s="9" t="s">
        <v>490</v>
      </c>
      <c r="E559" s="8" t="s">
        <v>299</v>
      </c>
      <c r="F559" s="8" t="s">
        <v>318</v>
      </c>
      <c r="G559" s="9" t="s">
        <v>493</v>
      </c>
      <c r="H559" s="21" t="n">
        <v>6</v>
      </c>
      <c r="I559" s="8" t="s">
        <v>288</v>
      </c>
      <c r="J559" s="8" t="s">
        <v>315</v>
      </c>
      <c r="K559" s="21" t="n">
        <v>35</v>
      </c>
      <c r="L559" s="21" t="n">
        <v>40</v>
      </c>
      <c r="M559" s="10" t="n">
        <v>127500000</v>
      </c>
      <c r="N559" s="10" t="n">
        <v>0</v>
      </c>
      <c r="O559" s="11" t="n">
        <f aca="false">ROUND((M559+N559)*0.18,0)</f>
        <v>22950000</v>
      </c>
      <c r="P559" s="11" t="n">
        <f aca="false">M559+N559+O559</f>
        <v>150450000</v>
      </c>
      <c r="Q559" s="9" t="s">
        <v>888</v>
      </c>
      <c r="R559" s="8" t="s">
        <v>303</v>
      </c>
      <c r="S559" s="8" t="s">
        <v>293</v>
      </c>
    </row>
    <row r="560" customFormat="false" ht="15" hidden="false" customHeight="false" outlineLevel="0" collapsed="false">
      <c r="B560" s="8" t="s">
        <v>242</v>
      </c>
      <c r="C560" s="8" t="s">
        <v>310</v>
      </c>
      <c r="D560" s="9" t="s">
        <v>490</v>
      </c>
      <c r="E560" s="8" t="s">
        <v>299</v>
      </c>
      <c r="F560" s="8" t="s">
        <v>451</v>
      </c>
      <c r="G560" s="9" t="s">
        <v>494</v>
      </c>
      <c r="H560" s="21" t="n">
        <v>10</v>
      </c>
      <c r="I560" s="8" t="s">
        <v>288</v>
      </c>
      <c r="J560" s="8" t="s">
        <v>318</v>
      </c>
      <c r="K560" s="21" t="n">
        <v>41</v>
      </c>
      <c r="L560" s="21" t="n">
        <v>50</v>
      </c>
      <c r="M560" s="10" t="n">
        <v>127500000</v>
      </c>
      <c r="N560" s="10" t="n">
        <v>0</v>
      </c>
      <c r="O560" s="11" t="n">
        <f aca="false">ROUND((M560+N560)*0.18,0)</f>
        <v>22950000</v>
      </c>
      <c r="P560" s="11" t="n">
        <f aca="false">M560+N560+O560</f>
        <v>150450000</v>
      </c>
      <c r="Q560" s="9" t="s">
        <v>888</v>
      </c>
      <c r="R560" s="8" t="s">
        <v>303</v>
      </c>
      <c r="S560" s="8" t="s">
        <v>293</v>
      </c>
    </row>
    <row r="561" customFormat="false" ht="15" hidden="false" customHeight="false" outlineLevel="0" collapsed="false">
      <c r="B561" s="8" t="s">
        <v>242</v>
      </c>
      <c r="C561" s="8" t="s">
        <v>320</v>
      </c>
      <c r="D561" s="9" t="s">
        <v>495</v>
      </c>
      <c r="E561" s="8" t="s">
        <v>454</v>
      </c>
      <c r="F561" s="8" t="s">
        <v>323</v>
      </c>
      <c r="G561" s="9" t="s">
        <v>455</v>
      </c>
      <c r="H561" s="21" t="n">
        <v>5</v>
      </c>
      <c r="I561" s="8" t="s">
        <v>288</v>
      </c>
      <c r="J561" s="8" t="s">
        <v>315</v>
      </c>
      <c r="K561" s="21" t="n">
        <v>35</v>
      </c>
      <c r="L561" s="21" t="n">
        <v>39</v>
      </c>
      <c r="M561" s="10" t="n">
        <v>24000000</v>
      </c>
      <c r="N561" s="10" t="n">
        <v>4050000</v>
      </c>
      <c r="O561" s="11" t="n">
        <f aca="false">ROUND((M561+N561)*0.18,0)</f>
        <v>5049000</v>
      </c>
      <c r="P561" s="11" t="n">
        <f aca="false">M561+N561+O561</f>
        <v>33099000</v>
      </c>
      <c r="Q561" s="9" t="s">
        <v>888</v>
      </c>
      <c r="R561" s="8" t="s">
        <v>303</v>
      </c>
      <c r="S561" s="8" t="s">
        <v>293</v>
      </c>
    </row>
    <row r="562" customFormat="false" ht="15" hidden="false" customHeight="false" outlineLevel="0" collapsed="false">
      <c r="B562" s="8" t="s">
        <v>242</v>
      </c>
      <c r="C562" s="8" t="s">
        <v>320</v>
      </c>
      <c r="D562" s="9" t="s">
        <v>495</v>
      </c>
      <c r="E562" s="8" t="s">
        <v>454</v>
      </c>
      <c r="F562" s="8" t="s">
        <v>326</v>
      </c>
      <c r="G562" s="9" t="s">
        <v>456</v>
      </c>
      <c r="H562" s="21" t="n">
        <v>2</v>
      </c>
      <c r="I562" s="8" t="s">
        <v>288</v>
      </c>
      <c r="J562" s="8" t="s">
        <v>323</v>
      </c>
      <c r="K562" s="21" t="n">
        <v>40</v>
      </c>
      <c r="L562" s="21" t="n">
        <v>41</v>
      </c>
      <c r="M562" s="10" t="n">
        <v>24000000</v>
      </c>
      <c r="N562" s="10" t="n">
        <v>4050000</v>
      </c>
      <c r="O562" s="11" t="n">
        <f aca="false">ROUND((M562+N562)*0.18,0)</f>
        <v>5049000</v>
      </c>
      <c r="P562" s="11" t="n">
        <f aca="false">M562+N562+O562</f>
        <v>33099000</v>
      </c>
      <c r="Q562" s="9" t="s">
        <v>888</v>
      </c>
      <c r="R562" s="8" t="s">
        <v>303</v>
      </c>
      <c r="S562" s="8" t="s">
        <v>293</v>
      </c>
    </row>
    <row r="563" customFormat="false" ht="15" hidden="false" customHeight="false" outlineLevel="0" collapsed="false">
      <c r="B563" s="8" t="s">
        <v>242</v>
      </c>
      <c r="C563" s="8" t="s">
        <v>320</v>
      </c>
      <c r="D563" s="9" t="s">
        <v>495</v>
      </c>
      <c r="E563" s="8" t="s">
        <v>454</v>
      </c>
      <c r="F563" s="8" t="s">
        <v>329</v>
      </c>
      <c r="G563" s="9" t="s">
        <v>400</v>
      </c>
      <c r="H563" s="21" t="n">
        <v>3</v>
      </c>
      <c r="I563" s="8" t="s">
        <v>384</v>
      </c>
      <c r="J563" s="8" t="s">
        <v>326</v>
      </c>
      <c r="K563" s="21" t="n">
        <v>40</v>
      </c>
      <c r="L563" s="21" t="n">
        <v>42</v>
      </c>
      <c r="M563" s="10" t="n">
        <v>24000000</v>
      </c>
      <c r="N563" s="10" t="n">
        <v>4050000</v>
      </c>
      <c r="O563" s="11" t="n">
        <f aca="false">ROUND((M563+N563)*0.18,0)</f>
        <v>5049000</v>
      </c>
      <c r="P563" s="11" t="n">
        <f aca="false">M563+N563+O563</f>
        <v>33099000</v>
      </c>
      <c r="Q563" s="9" t="s">
        <v>888</v>
      </c>
      <c r="R563" s="8" t="s">
        <v>303</v>
      </c>
      <c r="S563" s="8" t="s">
        <v>293</v>
      </c>
    </row>
    <row r="564" customFormat="false" ht="15" hidden="false" customHeight="false" outlineLevel="0" collapsed="false">
      <c r="B564" s="8" t="s">
        <v>242</v>
      </c>
      <c r="C564" s="8" t="s">
        <v>320</v>
      </c>
      <c r="D564" s="9" t="s">
        <v>495</v>
      </c>
      <c r="E564" s="8" t="s">
        <v>454</v>
      </c>
      <c r="F564" s="8" t="s">
        <v>332</v>
      </c>
      <c r="G564" s="9" t="s">
        <v>457</v>
      </c>
      <c r="H564" s="21" t="n">
        <v>3</v>
      </c>
      <c r="I564" s="8" t="s">
        <v>288</v>
      </c>
      <c r="J564" s="8" t="s">
        <v>326</v>
      </c>
      <c r="K564" s="21" t="n">
        <v>42</v>
      </c>
      <c r="L564" s="21" t="n">
        <v>44</v>
      </c>
      <c r="M564" s="10" t="n">
        <v>24000000</v>
      </c>
      <c r="N564" s="10" t="n">
        <v>4050000</v>
      </c>
      <c r="O564" s="11" t="n">
        <f aca="false">ROUND((M564+N564)*0.18,0)</f>
        <v>5049000</v>
      </c>
      <c r="P564" s="11" t="n">
        <f aca="false">M564+N564+O564</f>
        <v>33099000</v>
      </c>
      <c r="Q564" s="9" t="s">
        <v>888</v>
      </c>
      <c r="R564" s="8" t="s">
        <v>303</v>
      </c>
      <c r="S564" s="8" t="s">
        <v>293</v>
      </c>
    </row>
    <row r="565" customFormat="false" ht="15" hidden="false" customHeight="false" outlineLevel="0" collapsed="false">
      <c r="B565" s="8" t="s">
        <v>242</v>
      </c>
      <c r="C565" s="8" t="s">
        <v>320</v>
      </c>
      <c r="D565" s="9" t="s">
        <v>495</v>
      </c>
      <c r="E565" s="8" t="s">
        <v>454</v>
      </c>
      <c r="F565" s="8" t="s">
        <v>458</v>
      </c>
      <c r="G565" s="9" t="s">
        <v>496</v>
      </c>
      <c r="H565" s="21" t="n">
        <v>2</v>
      </c>
      <c r="I565" s="8" t="s">
        <v>288</v>
      </c>
      <c r="J565" s="8" t="s">
        <v>332</v>
      </c>
      <c r="K565" s="21" t="n">
        <v>45</v>
      </c>
      <c r="L565" s="21" t="n">
        <v>46</v>
      </c>
      <c r="M565" s="10" t="n">
        <v>24000000</v>
      </c>
      <c r="N565" s="10" t="n">
        <v>4050000</v>
      </c>
      <c r="O565" s="11" t="n">
        <f aca="false">ROUND((M565+N565)*0.18,0)</f>
        <v>5049000</v>
      </c>
      <c r="P565" s="11" t="n">
        <f aca="false">M565+N565+O565</f>
        <v>33099000</v>
      </c>
      <c r="Q565" s="9" t="s">
        <v>888</v>
      </c>
      <c r="R565" s="8" t="s">
        <v>303</v>
      </c>
      <c r="S565" s="8" t="s">
        <v>293</v>
      </c>
    </row>
    <row r="566" customFormat="false" ht="15" hidden="false" customHeight="false" outlineLevel="0" collapsed="false">
      <c r="B566" s="8" t="s">
        <v>242</v>
      </c>
      <c r="C566" s="8" t="s">
        <v>335</v>
      </c>
      <c r="D566" s="9" t="s">
        <v>497</v>
      </c>
      <c r="E566" s="8" t="s">
        <v>454</v>
      </c>
      <c r="F566" s="8" t="s">
        <v>337</v>
      </c>
      <c r="G566" s="9" t="s">
        <v>455</v>
      </c>
      <c r="H566" s="21" t="n">
        <v>7</v>
      </c>
      <c r="I566" s="8" t="s">
        <v>288</v>
      </c>
      <c r="J566" s="8" t="s">
        <v>451</v>
      </c>
      <c r="K566" s="21" t="n">
        <v>51</v>
      </c>
      <c r="L566" s="21" t="n">
        <v>57</v>
      </c>
      <c r="M566" s="10" t="n">
        <v>55000000</v>
      </c>
      <c r="N566" s="10" t="n">
        <v>9125000</v>
      </c>
      <c r="O566" s="11" t="n">
        <f aca="false">ROUND((M566+N566)*0.18,0)</f>
        <v>11542500</v>
      </c>
      <c r="P566" s="11" t="n">
        <f aca="false">M566+N566+O566</f>
        <v>75667500</v>
      </c>
      <c r="Q566" s="9" t="s">
        <v>888</v>
      </c>
      <c r="R566" s="8" t="s">
        <v>303</v>
      </c>
      <c r="S566" s="8" t="s">
        <v>293</v>
      </c>
    </row>
    <row r="567" customFormat="false" ht="15" hidden="false" customHeight="false" outlineLevel="0" collapsed="false">
      <c r="B567" s="8" t="s">
        <v>242</v>
      </c>
      <c r="C567" s="8" t="s">
        <v>335</v>
      </c>
      <c r="D567" s="9" t="s">
        <v>497</v>
      </c>
      <c r="E567" s="8" t="s">
        <v>454</v>
      </c>
      <c r="F567" s="8" t="s">
        <v>340</v>
      </c>
      <c r="G567" s="9" t="s">
        <v>400</v>
      </c>
      <c r="H567" s="21" t="n">
        <v>4</v>
      </c>
      <c r="I567" s="8" t="s">
        <v>288</v>
      </c>
      <c r="J567" s="8" t="s">
        <v>337</v>
      </c>
      <c r="K567" s="21" t="n">
        <v>58</v>
      </c>
      <c r="L567" s="21" t="n">
        <v>61</v>
      </c>
      <c r="M567" s="10" t="n">
        <v>55000000</v>
      </c>
      <c r="N567" s="10" t="n">
        <v>9125000</v>
      </c>
      <c r="O567" s="11" t="n">
        <f aca="false">ROUND((M567+N567)*0.18,0)</f>
        <v>11542500</v>
      </c>
      <c r="P567" s="11" t="n">
        <f aca="false">M567+N567+O567</f>
        <v>75667500</v>
      </c>
      <c r="Q567" s="9" t="s">
        <v>888</v>
      </c>
      <c r="R567" s="8" t="s">
        <v>303</v>
      </c>
      <c r="S567" s="8" t="s">
        <v>293</v>
      </c>
    </row>
    <row r="568" customFormat="false" ht="15" hidden="false" customHeight="false" outlineLevel="0" collapsed="false">
      <c r="B568" s="8" t="s">
        <v>242</v>
      </c>
      <c r="C568" s="8" t="s">
        <v>335</v>
      </c>
      <c r="D568" s="9" t="s">
        <v>497</v>
      </c>
      <c r="E568" s="8" t="s">
        <v>454</v>
      </c>
      <c r="F568" s="8" t="s">
        <v>341</v>
      </c>
      <c r="G568" s="9" t="s">
        <v>457</v>
      </c>
      <c r="H568" s="21" t="n">
        <v>4</v>
      </c>
      <c r="I568" s="8" t="s">
        <v>384</v>
      </c>
      <c r="J568" s="8" t="s">
        <v>340</v>
      </c>
      <c r="K568" s="21" t="n">
        <v>58</v>
      </c>
      <c r="L568" s="21" t="n">
        <v>61</v>
      </c>
      <c r="M568" s="10" t="n">
        <v>55000000</v>
      </c>
      <c r="N568" s="10" t="n">
        <v>9125000</v>
      </c>
      <c r="O568" s="11" t="n">
        <f aca="false">ROUND((M568+N568)*0.18,0)</f>
        <v>11542500</v>
      </c>
      <c r="P568" s="11" t="n">
        <f aca="false">M568+N568+O568</f>
        <v>75667500</v>
      </c>
      <c r="Q568" s="9" t="s">
        <v>888</v>
      </c>
      <c r="R568" s="8" t="s">
        <v>303</v>
      </c>
      <c r="S568" s="8" t="s">
        <v>293</v>
      </c>
    </row>
    <row r="569" customFormat="false" ht="15" hidden="false" customHeight="false" outlineLevel="0" collapsed="false">
      <c r="B569" s="8" t="s">
        <v>242</v>
      </c>
      <c r="C569" s="8" t="s">
        <v>335</v>
      </c>
      <c r="D569" s="9" t="s">
        <v>497</v>
      </c>
      <c r="E569" s="8" t="s">
        <v>454</v>
      </c>
      <c r="F569" s="8" t="s">
        <v>461</v>
      </c>
      <c r="G569" s="9" t="s">
        <v>462</v>
      </c>
      <c r="H569" s="21" t="n">
        <v>5</v>
      </c>
      <c r="I569" s="8" t="s">
        <v>288</v>
      </c>
      <c r="J569" s="8" t="s">
        <v>340</v>
      </c>
      <c r="K569" s="21" t="n">
        <v>62</v>
      </c>
      <c r="L569" s="21" t="n">
        <v>66</v>
      </c>
      <c r="M569" s="10" t="n">
        <v>55000000</v>
      </c>
      <c r="N569" s="10" t="n">
        <v>9125000</v>
      </c>
      <c r="O569" s="11" t="n">
        <f aca="false">ROUND((M569+N569)*0.18,0)</f>
        <v>11542500</v>
      </c>
      <c r="P569" s="11" t="n">
        <f aca="false">M569+N569+O569</f>
        <v>75667500</v>
      </c>
      <c r="Q569" s="9" t="s">
        <v>888</v>
      </c>
      <c r="R569" s="8" t="s">
        <v>303</v>
      </c>
      <c r="S569" s="8" t="s">
        <v>293</v>
      </c>
    </row>
    <row r="570" customFormat="false" ht="15" hidden="false" customHeight="false" outlineLevel="0" collapsed="false">
      <c r="B570" s="8" t="s">
        <v>242</v>
      </c>
      <c r="C570" s="8" t="s">
        <v>335</v>
      </c>
      <c r="D570" s="9" t="s">
        <v>497</v>
      </c>
      <c r="E570" s="8" t="s">
        <v>454</v>
      </c>
      <c r="F570" s="8" t="s">
        <v>463</v>
      </c>
      <c r="G570" s="9" t="s">
        <v>464</v>
      </c>
      <c r="H570" s="21" t="n">
        <v>4</v>
      </c>
      <c r="I570" s="8" t="s">
        <v>288</v>
      </c>
      <c r="J570" s="8" t="s">
        <v>461</v>
      </c>
      <c r="K570" s="21" t="n">
        <v>67</v>
      </c>
      <c r="L570" s="21" t="n">
        <v>70</v>
      </c>
      <c r="M570" s="10" t="n">
        <v>55000000</v>
      </c>
      <c r="N570" s="10" t="n">
        <v>9125000</v>
      </c>
      <c r="O570" s="11" t="n">
        <f aca="false">ROUND((M570+N570)*0.18,0)</f>
        <v>11542500</v>
      </c>
      <c r="P570" s="11" t="n">
        <f aca="false">M570+N570+O570</f>
        <v>75667500</v>
      </c>
      <c r="Q570" s="9" t="s">
        <v>888</v>
      </c>
      <c r="R570" s="8" t="s">
        <v>303</v>
      </c>
      <c r="S570" s="8" t="s">
        <v>293</v>
      </c>
    </row>
    <row r="571" customFormat="false" ht="15" hidden="false" customHeight="false" outlineLevel="0" collapsed="false">
      <c r="B571" s="8" t="s">
        <v>242</v>
      </c>
      <c r="C571" s="8" t="s">
        <v>335</v>
      </c>
      <c r="D571" s="9" t="s">
        <v>497</v>
      </c>
      <c r="E571" s="8" t="s">
        <v>454</v>
      </c>
      <c r="F571" s="8" t="s">
        <v>465</v>
      </c>
      <c r="G571" s="9" t="s">
        <v>498</v>
      </c>
      <c r="H571" s="21" t="n">
        <v>3</v>
      </c>
      <c r="I571" s="8" t="s">
        <v>288</v>
      </c>
      <c r="J571" s="8" t="s">
        <v>463</v>
      </c>
      <c r="K571" s="21" t="n">
        <v>71</v>
      </c>
      <c r="L571" s="21" t="n">
        <v>73</v>
      </c>
      <c r="M571" s="10" t="n">
        <v>55000000</v>
      </c>
      <c r="N571" s="10" t="n">
        <v>9125000</v>
      </c>
      <c r="O571" s="11" t="n">
        <f aca="false">ROUND((M571+N571)*0.18,0)</f>
        <v>11542500</v>
      </c>
      <c r="P571" s="11" t="n">
        <f aca="false">M571+N571+O571</f>
        <v>75667500</v>
      </c>
      <c r="Q571" s="9" t="s">
        <v>888</v>
      </c>
      <c r="R571" s="8" t="s">
        <v>303</v>
      </c>
      <c r="S571" s="8" t="s">
        <v>293</v>
      </c>
    </row>
    <row r="572" customFormat="false" ht="15" hidden="false" customHeight="false" outlineLevel="0" collapsed="false">
      <c r="B572" s="8" t="s">
        <v>242</v>
      </c>
      <c r="C572" s="8" t="s">
        <v>343</v>
      </c>
      <c r="D572" s="9" t="s">
        <v>467</v>
      </c>
      <c r="E572" s="8" t="s">
        <v>361</v>
      </c>
      <c r="F572" s="8" t="s">
        <v>346</v>
      </c>
      <c r="G572" s="9" t="s">
        <v>468</v>
      </c>
      <c r="H572" s="21" t="n">
        <v>4</v>
      </c>
      <c r="I572" s="8" t="s">
        <v>288</v>
      </c>
      <c r="J572" s="8" t="s">
        <v>486</v>
      </c>
      <c r="K572" s="21" t="n">
        <v>32</v>
      </c>
      <c r="L572" s="21" t="n">
        <v>35</v>
      </c>
      <c r="M572" s="10" t="n">
        <v>24000000</v>
      </c>
      <c r="N572" s="10" t="n">
        <v>0</v>
      </c>
      <c r="O572" s="11" t="n">
        <f aca="false">ROUND((M572+N572)*0.18,0)</f>
        <v>4320000</v>
      </c>
      <c r="P572" s="11" t="n">
        <f aca="false">M572+N572+O572</f>
        <v>28320000</v>
      </c>
      <c r="Q572" s="9" t="s">
        <v>888</v>
      </c>
      <c r="R572" s="8" t="s">
        <v>303</v>
      </c>
      <c r="S572" s="8" t="s">
        <v>293</v>
      </c>
    </row>
    <row r="573" customFormat="false" ht="15" hidden="false" customHeight="false" outlineLevel="0" collapsed="false">
      <c r="B573" s="8" t="s">
        <v>242</v>
      </c>
      <c r="C573" s="8" t="s">
        <v>343</v>
      </c>
      <c r="D573" s="9" t="s">
        <v>467</v>
      </c>
      <c r="E573" s="8" t="s">
        <v>361</v>
      </c>
      <c r="F573" s="8" t="s">
        <v>348</v>
      </c>
      <c r="G573" s="9" t="s">
        <v>469</v>
      </c>
      <c r="H573" s="21" t="n">
        <v>4</v>
      </c>
      <c r="I573" s="8" t="s">
        <v>288</v>
      </c>
      <c r="J573" s="8" t="s">
        <v>486</v>
      </c>
      <c r="K573" s="21" t="n">
        <v>32</v>
      </c>
      <c r="L573" s="21" t="n">
        <v>35</v>
      </c>
      <c r="M573" s="10" t="n">
        <v>24000000</v>
      </c>
      <c r="N573" s="10" t="n">
        <v>0</v>
      </c>
      <c r="O573" s="11" t="n">
        <f aca="false">ROUND((M573+N573)*0.18,0)</f>
        <v>4320000</v>
      </c>
      <c r="P573" s="11" t="n">
        <f aca="false">M573+N573+O573</f>
        <v>28320000</v>
      </c>
      <c r="Q573" s="9" t="s">
        <v>888</v>
      </c>
      <c r="R573" s="8" t="s">
        <v>303</v>
      </c>
      <c r="S573" s="8" t="s">
        <v>293</v>
      </c>
    </row>
    <row r="574" customFormat="false" ht="15" hidden="false" customHeight="false" outlineLevel="0" collapsed="false">
      <c r="B574" s="8" t="s">
        <v>242</v>
      </c>
      <c r="C574" s="8" t="s">
        <v>343</v>
      </c>
      <c r="D574" s="9" t="s">
        <v>467</v>
      </c>
      <c r="E574" s="8" t="s">
        <v>361</v>
      </c>
      <c r="F574" s="8" t="s">
        <v>403</v>
      </c>
      <c r="G574" s="9" t="s">
        <v>499</v>
      </c>
      <c r="H574" s="21" t="n">
        <v>4</v>
      </c>
      <c r="I574" s="8" t="s">
        <v>384</v>
      </c>
      <c r="J574" s="8" t="s">
        <v>348</v>
      </c>
      <c r="K574" s="21" t="n">
        <v>32</v>
      </c>
      <c r="L574" s="21" t="n">
        <v>35</v>
      </c>
      <c r="M574" s="10" t="n">
        <v>24000000</v>
      </c>
      <c r="N574" s="10" t="n">
        <v>0</v>
      </c>
      <c r="O574" s="11" t="n">
        <f aca="false">ROUND((M574+N574)*0.18,0)</f>
        <v>4320000</v>
      </c>
      <c r="P574" s="11" t="n">
        <f aca="false">M574+N574+O574</f>
        <v>28320000</v>
      </c>
      <c r="Q574" s="9" t="s">
        <v>888</v>
      </c>
      <c r="R574" s="8" t="s">
        <v>303</v>
      </c>
      <c r="S574" s="8" t="s">
        <v>293</v>
      </c>
    </row>
    <row r="575" customFormat="false" ht="15" hidden="false" customHeight="false" outlineLevel="0" collapsed="false">
      <c r="B575" s="8" t="s">
        <v>242</v>
      </c>
      <c r="C575" s="8" t="s">
        <v>343</v>
      </c>
      <c r="D575" s="9" t="s">
        <v>467</v>
      </c>
      <c r="E575" s="8" t="s">
        <v>361</v>
      </c>
      <c r="F575" s="8" t="s">
        <v>471</v>
      </c>
      <c r="G575" s="9" t="s">
        <v>470</v>
      </c>
      <c r="H575" s="21" t="n">
        <v>3</v>
      </c>
      <c r="I575" s="8" t="s">
        <v>384</v>
      </c>
      <c r="J575" s="8" t="s">
        <v>346</v>
      </c>
      <c r="K575" s="21" t="n">
        <v>32</v>
      </c>
      <c r="L575" s="21" t="n">
        <v>34</v>
      </c>
      <c r="M575" s="10" t="n">
        <v>24000000</v>
      </c>
      <c r="N575" s="10" t="n">
        <v>0</v>
      </c>
      <c r="O575" s="11" t="n">
        <f aca="false">ROUND((M575+N575)*0.18,0)</f>
        <v>4320000</v>
      </c>
      <c r="P575" s="11" t="n">
        <f aca="false">M575+N575+O575</f>
        <v>28320000</v>
      </c>
      <c r="Q575" s="9" t="s">
        <v>888</v>
      </c>
      <c r="R575" s="8" t="s">
        <v>303</v>
      </c>
      <c r="S575" s="8" t="s">
        <v>293</v>
      </c>
    </row>
    <row r="576" customFormat="false" ht="15" hidden="false" customHeight="false" outlineLevel="0" collapsed="false">
      <c r="B576" s="8" t="s">
        <v>242</v>
      </c>
      <c r="C576" s="8" t="s">
        <v>343</v>
      </c>
      <c r="D576" s="9" t="s">
        <v>467</v>
      </c>
      <c r="E576" s="8" t="s">
        <v>361</v>
      </c>
      <c r="F576" s="8" t="s">
        <v>500</v>
      </c>
      <c r="G576" s="9" t="s">
        <v>501</v>
      </c>
      <c r="H576" s="21" t="n">
        <v>2</v>
      </c>
      <c r="I576" s="8" t="s">
        <v>288</v>
      </c>
      <c r="J576" s="8" t="s">
        <v>346</v>
      </c>
      <c r="K576" s="21" t="n">
        <v>36</v>
      </c>
      <c r="L576" s="21" t="n">
        <v>37</v>
      </c>
      <c r="M576" s="10" t="n">
        <v>24000000</v>
      </c>
      <c r="N576" s="10" t="n">
        <v>0</v>
      </c>
      <c r="O576" s="11" t="n">
        <f aca="false">ROUND((M576+N576)*0.18,0)</f>
        <v>4320000</v>
      </c>
      <c r="P576" s="11" t="n">
        <f aca="false">M576+N576+O576</f>
        <v>28320000</v>
      </c>
      <c r="Q576" s="9" t="s">
        <v>888</v>
      </c>
      <c r="R576" s="8" t="s">
        <v>303</v>
      </c>
      <c r="S576" s="8" t="s">
        <v>293</v>
      </c>
    </row>
    <row r="577" customFormat="false" ht="15" hidden="false" customHeight="false" outlineLevel="0" collapsed="false">
      <c r="B577" s="8" t="s">
        <v>242</v>
      </c>
      <c r="C577" s="8" t="s">
        <v>351</v>
      </c>
      <c r="D577" s="9" t="s">
        <v>473</v>
      </c>
      <c r="E577" s="8" t="s">
        <v>361</v>
      </c>
      <c r="F577" s="8" t="s">
        <v>353</v>
      </c>
      <c r="G577" s="9" t="s">
        <v>474</v>
      </c>
      <c r="H577" s="21" t="n">
        <v>3</v>
      </c>
      <c r="I577" s="8" t="s">
        <v>288</v>
      </c>
      <c r="J577" s="8" t="s">
        <v>465</v>
      </c>
      <c r="K577" s="21" t="n">
        <v>74</v>
      </c>
      <c r="L577" s="21" t="n">
        <v>76</v>
      </c>
      <c r="M577" s="10" t="n">
        <v>15000000</v>
      </c>
      <c r="N577" s="10" t="n">
        <v>0</v>
      </c>
      <c r="O577" s="11" t="n">
        <f aca="false">ROUND((M577+N577)*0.18,0)</f>
        <v>2700000</v>
      </c>
      <c r="P577" s="11" t="n">
        <f aca="false">M577+N577+O577</f>
        <v>17700000</v>
      </c>
      <c r="Q577" s="9" t="s">
        <v>888</v>
      </c>
      <c r="R577" s="8" t="s">
        <v>303</v>
      </c>
      <c r="S577" s="8" t="s">
        <v>293</v>
      </c>
    </row>
    <row r="578" customFormat="false" ht="15" hidden="false" customHeight="false" outlineLevel="0" collapsed="false">
      <c r="B578" s="8" t="s">
        <v>242</v>
      </c>
      <c r="C578" s="8" t="s">
        <v>351</v>
      </c>
      <c r="D578" s="9" t="s">
        <v>473</v>
      </c>
      <c r="E578" s="8" t="s">
        <v>361</v>
      </c>
      <c r="F578" s="8" t="s">
        <v>356</v>
      </c>
      <c r="G578" s="9" t="s">
        <v>502</v>
      </c>
      <c r="H578" s="21" t="n">
        <v>4</v>
      </c>
      <c r="I578" s="8" t="s">
        <v>288</v>
      </c>
      <c r="J578" s="8" t="s">
        <v>353</v>
      </c>
      <c r="K578" s="21" t="n">
        <v>77</v>
      </c>
      <c r="L578" s="21" t="n">
        <v>80</v>
      </c>
      <c r="M578" s="10" t="n">
        <v>15000000</v>
      </c>
      <c r="N578" s="10" t="n">
        <v>0</v>
      </c>
      <c r="O578" s="11" t="n">
        <f aca="false">ROUND((M578+N578)*0.18,0)</f>
        <v>2700000</v>
      </c>
      <c r="P578" s="11" t="n">
        <f aca="false">M578+N578+O578</f>
        <v>17700000</v>
      </c>
      <c r="Q578" s="9" t="s">
        <v>888</v>
      </c>
      <c r="R578" s="8" t="s">
        <v>303</v>
      </c>
      <c r="S578" s="8" t="s">
        <v>293</v>
      </c>
    </row>
    <row r="579" customFormat="false" ht="15" hidden="false" customHeight="false" outlineLevel="0" collapsed="false">
      <c r="B579" s="8" t="s">
        <v>242</v>
      </c>
      <c r="C579" s="8" t="s">
        <v>351</v>
      </c>
      <c r="D579" s="9" t="s">
        <v>473</v>
      </c>
      <c r="E579" s="8" t="s">
        <v>361</v>
      </c>
      <c r="F579" s="8" t="s">
        <v>408</v>
      </c>
      <c r="G579" s="9" t="s">
        <v>476</v>
      </c>
      <c r="H579" s="21" t="n">
        <v>3</v>
      </c>
      <c r="I579" s="8" t="s">
        <v>288</v>
      </c>
      <c r="J579" s="8" t="s">
        <v>356</v>
      </c>
      <c r="K579" s="21" t="n">
        <v>81</v>
      </c>
      <c r="L579" s="21" t="n">
        <v>83</v>
      </c>
      <c r="M579" s="10" t="n">
        <v>15000000</v>
      </c>
      <c r="N579" s="10" t="n">
        <v>0</v>
      </c>
      <c r="O579" s="11" t="n">
        <f aca="false">ROUND((M579+N579)*0.18,0)</f>
        <v>2700000</v>
      </c>
      <c r="P579" s="11" t="n">
        <f aca="false">M579+N579+O579</f>
        <v>17700000</v>
      </c>
      <c r="Q579" s="9" t="s">
        <v>888</v>
      </c>
      <c r="R579" s="8" t="s">
        <v>303</v>
      </c>
      <c r="S579" s="8" t="s">
        <v>293</v>
      </c>
    </row>
    <row r="580" customFormat="false" ht="15" hidden="false" customHeight="false" outlineLevel="0" collapsed="false">
      <c r="B580" s="8" t="s">
        <v>242</v>
      </c>
      <c r="C580" s="8" t="s">
        <v>351</v>
      </c>
      <c r="D580" s="9" t="s">
        <v>473</v>
      </c>
      <c r="E580" s="8" t="s">
        <v>361</v>
      </c>
      <c r="F580" s="8" t="s">
        <v>410</v>
      </c>
      <c r="G580" s="9" t="s">
        <v>477</v>
      </c>
      <c r="H580" s="21" t="n">
        <v>2</v>
      </c>
      <c r="I580" s="8" t="s">
        <v>288</v>
      </c>
      <c r="J580" s="8" t="s">
        <v>408</v>
      </c>
      <c r="K580" s="21" t="n">
        <v>84</v>
      </c>
      <c r="L580" s="21" t="n">
        <v>85</v>
      </c>
      <c r="M580" s="10" t="n">
        <v>15000000</v>
      </c>
      <c r="N580" s="10" t="n">
        <v>0</v>
      </c>
      <c r="O580" s="11" t="n">
        <f aca="false">ROUND((M580+N580)*0.18,0)</f>
        <v>2700000</v>
      </c>
      <c r="P580" s="11" t="n">
        <f aca="false">M580+N580+O580</f>
        <v>17700000</v>
      </c>
      <c r="Q580" s="9" t="s">
        <v>888</v>
      </c>
      <c r="R580" s="8" t="s">
        <v>303</v>
      </c>
      <c r="S580" s="8" t="s">
        <v>293</v>
      </c>
    </row>
    <row r="581" customFormat="false" ht="15" hidden="false" customHeight="false" outlineLevel="0" collapsed="false">
      <c r="B581" s="8" t="s">
        <v>247</v>
      </c>
      <c r="C581" s="8" t="s">
        <v>279</v>
      </c>
      <c r="D581" s="9" t="s">
        <v>478</v>
      </c>
      <c r="E581" s="8" t="s">
        <v>81</v>
      </c>
      <c r="F581" s="8" t="s">
        <v>281</v>
      </c>
      <c r="G581" s="9" t="s">
        <v>479</v>
      </c>
      <c r="H581" s="21" t="n">
        <v>5</v>
      </c>
      <c r="I581" s="8"/>
      <c r="J581" s="8"/>
      <c r="K581" s="21" t="n">
        <v>1</v>
      </c>
      <c r="L581" s="21" t="n">
        <v>5</v>
      </c>
      <c r="M581" s="10" t="n">
        <v>12000000</v>
      </c>
      <c r="N581" s="10" t="n">
        <v>0</v>
      </c>
      <c r="O581" s="11" t="n">
        <f aca="false">ROUND((M581+N581)*0.18,0)</f>
        <v>2160000</v>
      </c>
      <c r="P581" s="11" t="n">
        <f aca="false">M581+N581+O581</f>
        <v>14160000</v>
      </c>
      <c r="Q581" s="9" t="s">
        <v>889</v>
      </c>
      <c r="R581" s="8" t="s">
        <v>303</v>
      </c>
      <c r="S581" s="8" t="s">
        <v>293</v>
      </c>
    </row>
    <row r="582" customFormat="false" ht="15" hidden="false" customHeight="false" outlineLevel="0" collapsed="false">
      <c r="B582" s="8" t="s">
        <v>247</v>
      </c>
      <c r="C582" s="8" t="s">
        <v>279</v>
      </c>
      <c r="D582" s="9" t="s">
        <v>478</v>
      </c>
      <c r="E582" s="8" t="s">
        <v>81</v>
      </c>
      <c r="F582" s="8" t="s">
        <v>286</v>
      </c>
      <c r="G582" s="9" t="s">
        <v>480</v>
      </c>
      <c r="H582" s="21" t="n">
        <v>8</v>
      </c>
      <c r="I582" s="8" t="s">
        <v>288</v>
      </c>
      <c r="J582" s="8" t="s">
        <v>281</v>
      </c>
      <c r="K582" s="21" t="n">
        <v>6</v>
      </c>
      <c r="L582" s="21" t="n">
        <v>13</v>
      </c>
      <c r="M582" s="10" t="n">
        <v>12000000</v>
      </c>
      <c r="N582" s="10" t="n">
        <v>0</v>
      </c>
      <c r="O582" s="11" t="n">
        <f aca="false">ROUND((M582+N582)*0.18,0)</f>
        <v>2160000</v>
      </c>
      <c r="P582" s="11" t="n">
        <f aca="false">M582+N582+O582</f>
        <v>14160000</v>
      </c>
      <c r="Q582" s="9" t="s">
        <v>889</v>
      </c>
      <c r="R582" s="8" t="s">
        <v>303</v>
      </c>
      <c r="S582" s="8" t="s">
        <v>293</v>
      </c>
    </row>
    <row r="583" customFormat="false" ht="15" hidden="false" customHeight="false" outlineLevel="0" collapsed="false">
      <c r="B583" s="8" t="s">
        <v>247</v>
      </c>
      <c r="C583" s="8" t="s">
        <v>279</v>
      </c>
      <c r="D583" s="9" t="s">
        <v>478</v>
      </c>
      <c r="E583" s="8" t="s">
        <v>81</v>
      </c>
      <c r="F583" s="8" t="s">
        <v>290</v>
      </c>
      <c r="G583" s="9" t="s">
        <v>481</v>
      </c>
      <c r="H583" s="21" t="n">
        <v>4</v>
      </c>
      <c r="I583" s="8" t="s">
        <v>288</v>
      </c>
      <c r="J583" s="8" t="s">
        <v>281</v>
      </c>
      <c r="K583" s="21" t="n">
        <v>6</v>
      </c>
      <c r="L583" s="21" t="n">
        <v>9</v>
      </c>
      <c r="M583" s="10" t="n">
        <v>12000000</v>
      </c>
      <c r="N583" s="10" t="n">
        <v>0</v>
      </c>
      <c r="O583" s="11" t="n">
        <f aca="false">ROUND((M583+N583)*0.18,0)</f>
        <v>2160000</v>
      </c>
      <c r="P583" s="11" t="n">
        <f aca="false">M583+N583+O583</f>
        <v>14160000</v>
      </c>
      <c r="Q583" s="9" t="s">
        <v>889</v>
      </c>
      <c r="R583" s="8" t="s">
        <v>303</v>
      </c>
      <c r="S583" s="8" t="s">
        <v>293</v>
      </c>
    </row>
    <row r="584" customFormat="false" ht="15" hidden="false" customHeight="false" outlineLevel="0" collapsed="false">
      <c r="B584" s="8" t="s">
        <v>247</v>
      </c>
      <c r="C584" s="8" t="s">
        <v>279</v>
      </c>
      <c r="D584" s="9" t="s">
        <v>478</v>
      </c>
      <c r="E584" s="8" t="s">
        <v>81</v>
      </c>
      <c r="F584" s="8" t="s">
        <v>294</v>
      </c>
      <c r="G584" s="9" t="s">
        <v>439</v>
      </c>
      <c r="H584" s="21" t="n">
        <v>8</v>
      </c>
      <c r="I584" s="8" t="s">
        <v>288</v>
      </c>
      <c r="J584" s="8" t="s">
        <v>290</v>
      </c>
      <c r="K584" s="21" t="n">
        <v>10</v>
      </c>
      <c r="L584" s="21" t="n">
        <v>17</v>
      </c>
      <c r="M584" s="10" t="n">
        <v>12000000</v>
      </c>
      <c r="N584" s="10" t="n">
        <v>0</v>
      </c>
      <c r="O584" s="11" t="n">
        <f aca="false">ROUND((M584+N584)*0.18,0)</f>
        <v>2160000</v>
      </c>
      <c r="P584" s="11" t="n">
        <f aca="false">M584+N584+O584</f>
        <v>14160000</v>
      </c>
      <c r="Q584" s="9" t="s">
        <v>889</v>
      </c>
      <c r="R584" s="8" t="s">
        <v>303</v>
      </c>
      <c r="S584" s="8" t="s">
        <v>293</v>
      </c>
    </row>
    <row r="585" customFormat="false" ht="15" hidden="false" customHeight="false" outlineLevel="0" collapsed="false">
      <c r="B585" s="8" t="s">
        <v>247</v>
      </c>
      <c r="C585" s="8" t="s">
        <v>279</v>
      </c>
      <c r="D585" s="9" t="s">
        <v>478</v>
      </c>
      <c r="E585" s="8" t="s">
        <v>81</v>
      </c>
      <c r="F585" s="8" t="s">
        <v>376</v>
      </c>
      <c r="G585" s="9" t="s">
        <v>440</v>
      </c>
      <c r="H585" s="21" t="n">
        <v>5</v>
      </c>
      <c r="I585" s="8" t="s">
        <v>288</v>
      </c>
      <c r="J585" s="8" t="s">
        <v>290</v>
      </c>
      <c r="K585" s="21" t="n">
        <v>10</v>
      </c>
      <c r="L585" s="21" t="n">
        <v>14</v>
      </c>
      <c r="M585" s="10" t="n">
        <v>12000000</v>
      </c>
      <c r="N585" s="10" t="n">
        <v>0</v>
      </c>
      <c r="O585" s="11" t="n">
        <f aca="false">ROUND((M585+N585)*0.18,0)</f>
        <v>2160000</v>
      </c>
      <c r="P585" s="11" t="n">
        <f aca="false">M585+N585+O585</f>
        <v>14160000</v>
      </c>
      <c r="Q585" s="9" t="s">
        <v>889</v>
      </c>
      <c r="R585" s="8" t="s">
        <v>303</v>
      </c>
      <c r="S585" s="8" t="s">
        <v>293</v>
      </c>
    </row>
    <row r="586" customFormat="false" ht="15" hidden="false" customHeight="false" outlineLevel="0" collapsed="false">
      <c r="B586" s="8" t="s">
        <v>247</v>
      </c>
      <c r="C586" s="8" t="s">
        <v>297</v>
      </c>
      <c r="D586" s="9" t="s">
        <v>482</v>
      </c>
      <c r="E586" s="8" t="s">
        <v>299</v>
      </c>
      <c r="F586" s="8" t="s">
        <v>300</v>
      </c>
      <c r="G586" s="9" t="s">
        <v>442</v>
      </c>
      <c r="H586" s="21" t="n">
        <v>5</v>
      </c>
      <c r="I586" s="8" t="s">
        <v>288</v>
      </c>
      <c r="J586" s="8" t="s">
        <v>294</v>
      </c>
      <c r="K586" s="21" t="n">
        <v>18</v>
      </c>
      <c r="L586" s="21" t="n">
        <v>22</v>
      </c>
      <c r="M586" s="10" t="n">
        <v>28333333</v>
      </c>
      <c r="N586" s="10" t="n">
        <v>0</v>
      </c>
      <c r="O586" s="11" t="n">
        <f aca="false">ROUND((M586+N586)*0.18,0)</f>
        <v>5100000</v>
      </c>
      <c r="P586" s="11" t="n">
        <f aca="false">M586+N586+O586</f>
        <v>33433333</v>
      </c>
      <c r="Q586" s="9" t="s">
        <v>889</v>
      </c>
      <c r="R586" s="8" t="s">
        <v>303</v>
      </c>
      <c r="S586" s="8" t="s">
        <v>293</v>
      </c>
    </row>
    <row r="587" customFormat="false" ht="15" hidden="false" customHeight="false" outlineLevel="0" collapsed="false">
      <c r="B587" s="8" t="s">
        <v>247</v>
      </c>
      <c r="C587" s="8" t="s">
        <v>297</v>
      </c>
      <c r="D587" s="9" t="s">
        <v>482</v>
      </c>
      <c r="E587" s="8" t="s">
        <v>299</v>
      </c>
      <c r="F587" s="8" t="s">
        <v>304</v>
      </c>
      <c r="G587" s="9" t="s">
        <v>483</v>
      </c>
      <c r="H587" s="21" t="n">
        <v>6</v>
      </c>
      <c r="I587" s="8" t="s">
        <v>288</v>
      </c>
      <c r="J587" s="8" t="s">
        <v>300</v>
      </c>
      <c r="K587" s="21" t="n">
        <v>23</v>
      </c>
      <c r="L587" s="21" t="n">
        <v>28</v>
      </c>
      <c r="M587" s="10" t="n">
        <v>28333333</v>
      </c>
      <c r="N587" s="10" t="n">
        <v>0</v>
      </c>
      <c r="O587" s="11" t="n">
        <f aca="false">ROUND((M587+N587)*0.18,0)</f>
        <v>5100000</v>
      </c>
      <c r="P587" s="11" t="n">
        <f aca="false">M587+N587+O587</f>
        <v>33433333</v>
      </c>
      <c r="Q587" s="9" t="s">
        <v>889</v>
      </c>
      <c r="R587" s="8" t="s">
        <v>303</v>
      </c>
      <c r="S587" s="8" t="s">
        <v>293</v>
      </c>
    </row>
    <row r="588" customFormat="false" ht="15" hidden="false" customHeight="false" outlineLevel="0" collapsed="false">
      <c r="B588" s="8" t="s">
        <v>247</v>
      </c>
      <c r="C588" s="8" t="s">
        <v>297</v>
      </c>
      <c r="D588" s="9" t="s">
        <v>482</v>
      </c>
      <c r="E588" s="8" t="s">
        <v>299</v>
      </c>
      <c r="F588" s="8" t="s">
        <v>307</v>
      </c>
      <c r="G588" s="9" t="s">
        <v>484</v>
      </c>
      <c r="H588" s="21" t="n">
        <v>6</v>
      </c>
      <c r="I588" s="8" t="s">
        <v>384</v>
      </c>
      <c r="J588" s="8" t="s">
        <v>304</v>
      </c>
      <c r="K588" s="21" t="n">
        <v>23</v>
      </c>
      <c r="L588" s="21" t="n">
        <v>28</v>
      </c>
      <c r="M588" s="10" t="n">
        <v>28333333</v>
      </c>
      <c r="N588" s="10" t="n">
        <v>0</v>
      </c>
      <c r="O588" s="11" t="n">
        <f aca="false">ROUND((M588+N588)*0.18,0)</f>
        <v>5100000</v>
      </c>
      <c r="P588" s="11" t="n">
        <f aca="false">M588+N588+O588</f>
        <v>33433333</v>
      </c>
      <c r="Q588" s="9" t="s">
        <v>889</v>
      </c>
      <c r="R588" s="8" t="s">
        <v>303</v>
      </c>
      <c r="S588" s="8" t="s">
        <v>293</v>
      </c>
    </row>
    <row r="589" customFormat="false" ht="15" hidden="false" customHeight="false" outlineLevel="0" collapsed="false">
      <c r="B589" s="8" t="s">
        <v>247</v>
      </c>
      <c r="C589" s="8" t="s">
        <v>297</v>
      </c>
      <c r="D589" s="9" t="s">
        <v>482</v>
      </c>
      <c r="E589" s="8" t="s">
        <v>299</v>
      </c>
      <c r="F589" s="8" t="s">
        <v>445</v>
      </c>
      <c r="G589" s="9" t="s">
        <v>485</v>
      </c>
      <c r="H589" s="21" t="n">
        <v>4</v>
      </c>
      <c r="I589" s="8" t="s">
        <v>288</v>
      </c>
      <c r="J589" s="8" t="s">
        <v>300</v>
      </c>
      <c r="K589" s="21" t="n">
        <v>23</v>
      </c>
      <c r="L589" s="21" t="n">
        <v>26</v>
      </c>
      <c r="M589" s="10" t="n">
        <v>28333333</v>
      </c>
      <c r="N589" s="10" t="n">
        <v>0</v>
      </c>
      <c r="O589" s="11" t="n">
        <f aca="false">ROUND((M589+N589)*0.18,0)</f>
        <v>5100000</v>
      </c>
      <c r="P589" s="11" t="n">
        <f aca="false">M589+N589+O589</f>
        <v>33433333</v>
      </c>
      <c r="Q589" s="9" t="s">
        <v>889</v>
      </c>
      <c r="R589" s="8" t="s">
        <v>303</v>
      </c>
      <c r="S589" s="8" t="s">
        <v>293</v>
      </c>
    </row>
    <row r="590" customFormat="false" ht="15" hidden="false" customHeight="false" outlineLevel="0" collapsed="false">
      <c r="B590" s="8" t="s">
        <v>247</v>
      </c>
      <c r="C590" s="8" t="s">
        <v>297</v>
      </c>
      <c r="D590" s="9" t="s">
        <v>482</v>
      </c>
      <c r="E590" s="8" t="s">
        <v>299</v>
      </c>
      <c r="F590" s="8" t="s">
        <v>486</v>
      </c>
      <c r="G590" s="9" t="s">
        <v>487</v>
      </c>
      <c r="H590" s="21" t="n">
        <v>3</v>
      </c>
      <c r="I590" s="8" t="s">
        <v>288</v>
      </c>
      <c r="J590" s="8" t="s">
        <v>445</v>
      </c>
      <c r="K590" s="21" t="n">
        <v>27</v>
      </c>
      <c r="L590" s="21" t="n">
        <v>29</v>
      </c>
      <c r="M590" s="10" t="n">
        <v>28333333</v>
      </c>
      <c r="N590" s="10" t="n">
        <v>0</v>
      </c>
      <c r="O590" s="11" t="n">
        <f aca="false">ROUND((M590+N590)*0.18,0)</f>
        <v>5100000</v>
      </c>
      <c r="P590" s="11" t="n">
        <f aca="false">M590+N590+O590</f>
        <v>33433333</v>
      </c>
      <c r="Q590" s="9" t="s">
        <v>889</v>
      </c>
      <c r="R590" s="8" t="s">
        <v>303</v>
      </c>
      <c r="S590" s="8" t="s">
        <v>293</v>
      </c>
    </row>
    <row r="591" customFormat="false" ht="15" hidden="false" customHeight="false" outlineLevel="0" collapsed="false">
      <c r="B591" s="8" t="s">
        <v>247</v>
      </c>
      <c r="C591" s="8" t="s">
        <v>297</v>
      </c>
      <c r="D591" s="9" t="s">
        <v>482</v>
      </c>
      <c r="E591" s="8" t="s">
        <v>299</v>
      </c>
      <c r="F591" s="8" t="s">
        <v>488</v>
      </c>
      <c r="G591" s="9" t="s">
        <v>503</v>
      </c>
      <c r="H591" s="21" t="n">
        <v>4</v>
      </c>
      <c r="I591" s="8" t="s">
        <v>384</v>
      </c>
      <c r="J591" s="8" t="s">
        <v>304</v>
      </c>
      <c r="K591" s="21" t="n">
        <v>23</v>
      </c>
      <c r="L591" s="21" t="n">
        <v>26</v>
      </c>
      <c r="M591" s="10" t="n">
        <v>28333335</v>
      </c>
      <c r="N591" s="10" t="n">
        <v>0</v>
      </c>
      <c r="O591" s="11" t="n">
        <f aca="false">ROUND((M591+N591)*0.18,0)</f>
        <v>5100000</v>
      </c>
      <c r="P591" s="11" t="n">
        <f aca="false">M591+N591+O591</f>
        <v>33433335</v>
      </c>
      <c r="Q591" s="9" t="s">
        <v>889</v>
      </c>
      <c r="R591" s="8" t="s">
        <v>303</v>
      </c>
      <c r="S591" s="8" t="s">
        <v>293</v>
      </c>
    </row>
    <row r="592" customFormat="false" ht="15" hidden="false" customHeight="false" outlineLevel="0" collapsed="false">
      <c r="B592" s="8" t="s">
        <v>247</v>
      </c>
      <c r="C592" s="8" t="s">
        <v>310</v>
      </c>
      <c r="D592" s="9" t="s">
        <v>504</v>
      </c>
      <c r="E592" s="8" t="s">
        <v>299</v>
      </c>
      <c r="F592" s="8" t="s">
        <v>312</v>
      </c>
      <c r="G592" s="9" t="s">
        <v>505</v>
      </c>
      <c r="H592" s="21" t="n">
        <v>5</v>
      </c>
      <c r="I592" s="8" t="s">
        <v>288</v>
      </c>
      <c r="J592" s="8" t="s">
        <v>300</v>
      </c>
      <c r="K592" s="21" t="n">
        <v>23</v>
      </c>
      <c r="L592" s="21" t="n">
        <v>27</v>
      </c>
      <c r="M592" s="10" t="n">
        <v>100000000</v>
      </c>
      <c r="N592" s="10" t="n">
        <v>0</v>
      </c>
      <c r="O592" s="11" t="n">
        <f aca="false">ROUND((M592+N592)*0.18,0)</f>
        <v>18000000</v>
      </c>
      <c r="P592" s="11" t="n">
        <f aca="false">M592+N592+O592</f>
        <v>118000000</v>
      </c>
      <c r="Q592" s="9" t="s">
        <v>889</v>
      </c>
      <c r="R592" s="8" t="s">
        <v>303</v>
      </c>
      <c r="S592" s="8" t="s">
        <v>293</v>
      </c>
    </row>
    <row r="593" customFormat="false" ht="15" hidden="false" customHeight="false" outlineLevel="0" collapsed="false">
      <c r="B593" s="8" t="s">
        <v>247</v>
      </c>
      <c r="C593" s="8" t="s">
        <v>310</v>
      </c>
      <c r="D593" s="9" t="s">
        <v>504</v>
      </c>
      <c r="E593" s="8" t="s">
        <v>299</v>
      </c>
      <c r="F593" s="8" t="s">
        <v>315</v>
      </c>
      <c r="G593" s="9" t="s">
        <v>506</v>
      </c>
      <c r="H593" s="21" t="n">
        <v>7</v>
      </c>
      <c r="I593" s="8" t="s">
        <v>288</v>
      </c>
      <c r="J593" s="8" t="s">
        <v>312</v>
      </c>
      <c r="K593" s="21" t="n">
        <v>28</v>
      </c>
      <c r="L593" s="21" t="n">
        <v>34</v>
      </c>
      <c r="M593" s="10" t="n">
        <v>100000000</v>
      </c>
      <c r="N593" s="10" t="n">
        <v>0</v>
      </c>
      <c r="O593" s="11" t="n">
        <f aca="false">ROUND((M593+N593)*0.18,0)</f>
        <v>18000000</v>
      </c>
      <c r="P593" s="11" t="n">
        <f aca="false">M593+N593+O593</f>
        <v>118000000</v>
      </c>
      <c r="Q593" s="9" t="s">
        <v>889</v>
      </c>
      <c r="R593" s="8" t="s">
        <v>303</v>
      </c>
      <c r="S593" s="8" t="s">
        <v>293</v>
      </c>
    </row>
    <row r="594" customFormat="false" ht="15" hidden="false" customHeight="false" outlineLevel="0" collapsed="false">
      <c r="B594" s="8" t="s">
        <v>247</v>
      </c>
      <c r="C594" s="8" t="s">
        <v>310</v>
      </c>
      <c r="D594" s="9" t="s">
        <v>504</v>
      </c>
      <c r="E594" s="8" t="s">
        <v>299</v>
      </c>
      <c r="F594" s="8" t="s">
        <v>318</v>
      </c>
      <c r="G594" s="9" t="s">
        <v>507</v>
      </c>
      <c r="H594" s="21" t="n">
        <v>5</v>
      </c>
      <c r="I594" s="8" t="s">
        <v>384</v>
      </c>
      <c r="J594" s="8" t="s">
        <v>315</v>
      </c>
      <c r="K594" s="21" t="n">
        <v>28</v>
      </c>
      <c r="L594" s="21" t="n">
        <v>32</v>
      </c>
      <c r="M594" s="10" t="n">
        <v>100000000</v>
      </c>
      <c r="N594" s="10" t="n">
        <v>0</v>
      </c>
      <c r="O594" s="11" t="n">
        <f aca="false">ROUND((M594+N594)*0.18,0)</f>
        <v>18000000</v>
      </c>
      <c r="P594" s="11" t="n">
        <f aca="false">M594+N594+O594</f>
        <v>118000000</v>
      </c>
      <c r="Q594" s="9" t="s">
        <v>889</v>
      </c>
      <c r="R594" s="8" t="s">
        <v>303</v>
      </c>
      <c r="S594" s="8" t="s">
        <v>293</v>
      </c>
    </row>
    <row r="595" customFormat="false" ht="15" hidden="false" customHeight="false" outlineLevel="0" collapsed="false">
      <c r="B595" s="8" t="s">
        <v>247</v>
      </c>
      <c r="C595" s="8" t="s">
        <v>310</v>
      </c>
      <c r="D595" s="9" t="s">
        <v>504</v>
      </c>
      <c r="E595" s="8" t="s">
        <v>299</v>
      </c>
      <c r="F595" s="8" t="s">
        <v>451</v>
      </c>
      <c r="G595" s="9" t="s">
        <v>508</v>
      </c>
      <c r="H595" s="21" t="n">
        <v>7</v>
      </c>
      <c r="I595" s="8" t="s">
        <v>288</v>
      </c>
      <c r="J595" s="8" t="s">
        <v>318</v>
      </c>
      <c r="K595" s="21" t="n">
        <v>33</v>
      </c>
      <c r="L595" s="21" t="n">
        <v>39</v>
      </c>
      <c r="M595" s="10" t="n">
        <v>100000000</v>
      </c>
      <c r="N595" s="10" t="n">
        <v>0</v>
      </c>
      <c r="O595" s="11" t="n">
        <f aca="false">ROUND((M595+N595)*0.18,0)</f>
        <v>18000000</v>
      </c>
      <c r="P595" s="11" t="n">
        <f aca="false">M595+N595+O595</f>
        <v>118000000</v>
      </c>
      <c r="Q595" s="9" t="s">
        <v>889</v>
      </c>
      <c r="R595" s="8" t="s">
        <v>303</v>
      </c>
      <c r="S595" s="8" t="s">
        <v>293</v>
      </c>
    </row>
    <row r="596" customFormat="false" ht="15" hidden="false" customHeight="false" outlineLevel="0" collapsed="false">
      <c r="B596" s="8" t="s">
        <v>247</v>
      </c>
      <c r="C596" s="8" t="s">
        <v>320</v>
      </c>
      <c r="D596" s="9" t="s">
        <v>509</v>
      </c>
      <c r="E596" s="8" t="s">
        <v>454</v>
      </c>
      <c r="F596" s="8" t="s">
        <v>323</v>
      </c>
      <c r="G596" s="9" t="s">
        <v>455</v>
      </c>
      <c r="H596" s="21" t="n">
        <v>7</v>
      </c>
      <c r="I596" s="8" t="s">
        <v>288</v>
      </c>
      <c r="J596" s="8" t="s">
        <v>315</v>
      </c>
      <c r="K596" s="21" t="n">
        <v>35</v>
      </c>
      <c r="L596" s="21" t="n">
        <v>41</v>
      </c>
      <c r="M596" s="10" t="n">
        <v>48000000</v>
      </c>
      <c r="N596" s="10" t="n">
        <v>10000000</v>
      </c>
      <c r="O596" s="11" t="n">
        <f aca="false">ROUND((M596+N596)*0.18,0)</f>
        <v>10440000</v>
      </c>
      <c r="P596" s="11" t="n">
        <f aca="false">M596+N596+O596</f>
        <v>68440000</v>
      </c>
      <c r="Q596" s="9" t="s">
        <v>889</v>
      </c>
      <c r="R596" s="8" t="s">
        <v>303</v>
      </c>
      <c r="S596" s="8" t="s">
        <v>293</v>
      </c>
    </row>
    <row r="597" customFormat="false" ht="15" hidden="false" customHeight="false" outlineLevel="0" collapsed="false">
      <c r="B597" s="8" t="s">
        <v>247</v>
      </c>
      <c r="C597" s="8" t="s">
        <v>320</v>
      </c>
      <c r="D597" s="9" t="s">
        <v>509</v>
      </c>
      <c r="E597" s="8" t="s">
        <v>454</v>
      </c>
      <c r="F597" s="8" t="s">
        <v>326</v>
      </c>
      <c r="G597" s="9" t="s">
        <v>456</v>
      </c>
      <c r="H597" s="21" t="n">
        <v>3</v>
      </c>
      <c r="I597" s="8" t="s">
        <v>288</v>
      </c>
      <c r="J597" s="8" t="s">
        <v>323</v>
      </c>
      <c r="K597" s="21" t="n">
        <v>42</v>
      </c>
      <c r="L597" s="21" t="n">
        <v>44</v>
      </c>
      <c r="M597" s="10" t="n">
        <v>48000000</v>
      </c>
      <c r="N597" s="10" t="n">
        <v>10000000</v>
      </c>
      <c r="O597" s="11" t="n">
        <f aca="false">ROUND((M597+N597)*0.18,0)</f>
        <v>10440000</v>
      </c>
      <c r="P597" s="11" t="n">
        <f aca="false">M597+N597+O597</f>
        <v>68440000</v>
      </c>
      <c r="Q597" s="9" t="s">
        <v>889</v>
      </c>
      <c r="R597" s="8" t="s">
        <v>303</v>
      </c>
      <c r="S597" s="8" t="s">
        <v>293</v>
      </c>
    </row>
    <row r="598" customFormat="false" ht="15" hidden="false" customHeight="false" outlineLevel="0" collapsed="false">
      <c r="B598" s="8" t="s">
        <v>247</v>
      </c>
      <c r="C598" s="8" t="s">
        <v>320</v>
      </c>
      <c r="D598" s="9" t="s">
        <v>509</v>
      </c>
      <c r="E598" s="8" t="s">
        <v>454</v>
      </c>
      <c r="F598" s="8" t="s">
        <v>329</v>
      </c>
      <c r="G598" s="9" t="s">
        <v>510</v>
      </c>
      <c r="H598" s="21" t="n">
        <v>4</v>
      </c>
      <c r="I598" s="8" t="s">
        <v>384</v>
      </c>
      <c r="J598" s="8" t="s">
        <v>326</v>
      </c>
      <c r="K598" s="21" t="n">
        <v>42</v>
      </c>
      <c r="L598" s="21" t="n">
        <v>45</v>
      </c>
      <c r="M598" s="10" t="n">
        <v>48000000</v>
      </c>
      <c r="N598" s="10" t="n">
        <v>10000000</v>
      </c>
      <c r="O598" s="11" t="n">
        <f aca="false">ROUND((M598+N598)*0.18,0)</f>
        <v>10440000</v>
      </c>
      <c r="P598" s="11" t="n">
        <f aca="false">M598+N598+O598</f>
        <v>68440000</v>
      </c>
      <c r="Q598" s="9" t="s">
        <v>889</v>
      </c>
      <c r="R598" s="8" t="s">
        <v>303</v>
      </c>
      <c r="S598" s="8" t="s">
        <v>293</v>
      </c>
    </row>
    <row r="599" customFormat="false" ht="15" hidden="false" customHeight="false" outlineLevel="0" collapsed="false">
      <c r="B599" s="8" t="s">
        <v>247</v>
      </c>
      <c r="C599" s="8" t="s">
        <v>320</v>
      </c>
      <c r="D599" s="9" t="s">
        <v>509</v>
      </c>
      <c r="E599" s="8" t="s">
        <v>454</v>
      </c>
      <c r="F599" s="8" t="s">
        <v>332</v>
      </c>
      <c r="G599" s="9" t="s">
        <v>511</v>
      </c>
      <c r="H599" s="21" t="n">
        <v>3</v>
      </c>
      <c r="I599" s="8" t="s">
        <v>288</v>
      </c>
      <c r="J599" s="8" t="s">
        <v>329</v>
      </c>
      <c r="K599" s="21" t="n">
        <v>46</v>
      </c>
      <c r="L599" s="21" t="n">
        <v>48</v>
      </c>
      <c r="M599" s="10" t="n">
        <v>48000000</v>
      </c>
      <c r="N599" s="10" t="n">
        <v>10000000</v>
      </c>
      <c r="O599" s="11" t="n">
        <f aca="false">ROUND((M599+N599)*0.18,0)</f>
        <v>10440000</v>
      </c>
      <c r="P599" s="11" t="n">
        <f aca="false">M599+N599+O599</f>
        <v>68440000</v>
      </c>
      <c r="Q599" s="9" t="s">
        <v>889</v>
      </c>
      <c r="R599" s="8" t="s">
        <v>303</v>
      </c>
      <c r="S599" s="8" t="s">
        <v>293</v>
      </c>
    </row>
    <row r="600" customFormat="false" ht="15" hidden="false" customHeight="false" outlineLevel="0" collapsed="false">
      <c r="B600" s="8" t="s">
        <v>247</v>
      </c>
      <c r="C600" s="8" t="s">
        <v>320</v>
      </c>
      <c r="D600" s="9" t="s">
        <v>509</v>
      </c>
      <c r="E600" s="8" t="s">
        <v>454</v>
      </c>
      <c r="F600" s="8" t="s">
        <v>458</v>
      </c>
      <c r="G600" s="9" t="s">
        <v>457</v>
      </c>
      <c r="H600" s="21" t="n">
        <v>4</v>
      </c>
      <c r="I600" s="8" t="s">
        <v>288</v>
      </c>
      <c r="J600" s="8" t="s">
        <v>332</v>
      </c>
      <c r="K600" s="21" t="n">
        <v>49</v>
      </c>
      <c r="L600" s="21" t="n">
        <v>52</v>
      </c>
      <c r="M600" s="10" t="n">
        <v>48000000</v>
      </c>
      <c r="N600" s="10" t="n">
        <v>10000000</v>
      </c>
      <c r="O600" s="11" t="n">
        <f aca="false">ROUND((M600+N600)*0.18,0)</f>
        <v>10440000</v>
      </c>
      <c r="P600" s="11" t="n">
        <f aca="false">M600+N600+O600</f>
        <v>68440000</v>
      </c>
      <c r="Q600" s="9" t="s">
        <v>889</v>
      </c>
      <c r="R600" s="8" t="s">
        <v>303</v>
      </c>
      <c r="S600" s="8" t="s">
        <v>293</v>
      </c>
    </row>
    <row r="601" customFormat="false" ht="15" hidden="false" customHeight="false" outlineLevel="0" collapsed="false">
      <c r="B601" s="8" t="s">
        <v>247</v>
      </c>
      <c r="C601" s="8" t="s">
        <v>335</v>
      </c>
      <c r="D601" s="9" t="s">
        <v>467</v>
      </c>
      <c r="E601" s="8" t="s">
        <v>361</v>
      </c>
      <c r="F601" s="8" t="s">
        <v>337</v>
      </c>
      <c r="G601" s="9" t="s">
        <v>468</v>
      </c>
      <c r="H601" s="21" t="n">
        <v>4</v>
      </c>
      <c r="I601" s="8" t="s">
        <v>288</v>
      </c>
      <c r="J601" s="8" t="s">
        <v>486</v>
      </c>
      <c r="K601" s="21" t="n">
        <v>30</v>
      </c>
      <c r="L601" s="21" t="n">
        <v>33</v>
      </c>
      <c r="M601" s="10" t="n">
        <v>16000000</v>
      </c>
      <c r="N601" s="10" t="n">
        <v>0</v>
      </c>
      <c r="O601" s="11" t="n">
        <f aca="false">ROUND((M601+N601)*0.18,0)</f>
        <v>2880000</v>
      </c>
      <c r="P601" s="11" t="n">
        <f aca="false">M601+N601+O601</f>
        <v>18880000</v>
      </c>
      <c r="Q601" s="9" t="s">
        <v>889</v>
      </c>
      <c r="R601" s="8" t="s">
        <v>303</v>
      </c>
      <c r="S601" s="8" t="s">
        <v>293</v>
      </c>
    </row>
    <row r="602" customFormat="false" ht="15" hidden="false" customHeight="false" outlineLevel="0" collapsed="false">
      <c r="B602" s="8" t="s">
        <v>247</v>
      </c>
      <c r="C602" s="8" t="s">
        <v>335</v>
      </c>
      <c r="D602" s="9" t="s">
        <v>467</v>
      </c>
      <c r="E602" s="8" t="s">
        <v>361</v>
      </c>
      <c r="F602" s="8" t="s">
        <v>340</v>
      </c>
      <c r="G602" s="9" t="s">
        <v>469</v>
      </c>
      <c r="H602" s="21" t="n">
        <v>4</v>
      </c>
      <c r="I602" s="8" t="s">
        <v>288</v>
      </c>
      <c r="J602" s="8" t="s">
        <v>486</v>
      </c>
      <c r="K602" s="21" t="n">
        <v>30</v>
      </c>
      <c r="L602" s="21" t="n">
        <v>33</v>
      </c>
      <c r="M602" s="10" t="n">
        <v>16000000</v>
      </c>
      <c r="N602" s="10" t="n">
        <v>0</v>
      </c>
      <c r="O602" s="11" t="n">
        <f aca="false">ROUND((M602+N602)*0.18,0)</f>
        <v>2880000</v>
      </c>
      <c r="P602" s="11" t="n">
        <f aca="false">M602+N602+O602</f>
        <v>18880000</v>
      </c>
      <c r="Q602" s="9" t="s">
        <v>889</v>
      </c>
      <c r="R602" s="8" t="s">
        <v>303</v>
      </c>
      <c r="S602" s="8" t="s">
        <v>293</v>
      </c>
    </row>
    <row r="603" customFormat="false" ht="15" hidden="false" customHeight="false" outlineLevel="0" collapsed="false">
      <c r="B603" s="8" t="s">
        <v>247</v>
      </c>
      <c r="C603" s="8" t="s">
        <v>335</v>
      </c>
      <c r="D603" s="9" t="s">
        <v>467</v>
      </c>
      <c r="E603" s="8" t="s">
        <v>361</v>
      </c>
      <c r="F603" s="8" t="s">
        <v>341</v>
      </c>
      <c r="G603" s="9" t="s">
        <v>512</v>
      </c>
      <c r="H603" s="21" t="n">
        <v>3</v>
      </c>
      <c r="I603" s="8" t="s">
        <v>384</v>
      </c>
      <c r="J603" s="8" t="s">
        <v>340</v>
      </c>
      <c r="K603" s="21" t="n">
        <v>30</v>
      </c>
      <c r="L603" s="21" t="n">
        <v>32</v>
      </c>
      <c r="M603" s="10" t="n">
        <v>16000000</v>
      </c>
      <c r="N603" s="10" t="n">
        <v>0</v>
      </c>
      <c r="O603" s="11" t="n">
        <f aca="false">ROUND((M603+N603)*0.18,0)</f>
        <v>2880000</v>
      </c>
      <c r="P603" s="11" t="n">
        <f aca="false">M603+N603+O603</f>
        <v>18880000</v>
      </c>
      <c r="Q603" s="9" t="s">
        <v>889</v>
      </c>
      <c r="R603" s="8" t="s">
        <v>303</v>
      </c>
      <c r="S603" s="8" t="s">
        <v>293</v>
      </c>
    </row>
    <row r="604" customFormat="false" ht="15" hidden="false" customHeight="false" outlineLevel="0" collapsed="false">
      <c r="B604" s="8" t="s">
        <v>247</v>
      </c>
      <c r="C604" s="8" t="s">
        <v>335</v>
      </c>
      <c r="D604" s="9" t="s">
        <v>467</v>
      </c>
      <c r="E604" s="8" t="s">
        <v>361</v>
      </c>
      <c r="F604" s="8" t="s">
        <v>461</v>
      </c>
      <c r="G604" s="9" t="s">
        <v>513</v>
      </c>
      <c r="H604" s="21" t="n">
        <v>3</v>
      </c>
      <c r="I604" s="8" t="s">
        <v>384</v>
      </c>
      <c r="J604" s="8" t="s">
        <v>337</v>
      </c>
      <c r="K604" s="21" t="n">
        <v>30</v>
      </c>
      <c r="L604" s="21" t="n">
        <v>32</v>
      </c>
      <c r="M604" s="10" t="n">
        <v>16000000</v>
      </c>
      <c r="N604" s="10" t="n">
        <v>0</v>
      </c>
      <c r="O604" s="11" t="n">
        <f aca="false">ROUND((M604+N604)*0.18,0)</f>
        <v>2880000</v>
      </c>
      <c r="P604" s="11" t="n">
        <f aca="false">M604+N604+O604</f>
        <v>18880000</v>
      </c>
      <c r="Q604" s="9" t="s">
        <v>889</v>
      </c>
      <c r="R604" s="8" t="s">
        <v>303</v>
      </c>
      <c r="S604" s="8" t="s">
        <v>293</v>
      </c>
    </row>
    <row r="605" customFormat="false" ht="15" hidden="false" customHeight="false" outlineLevel="0" collapsed="false">
      <c r="B605" s="8" t="s">
        <v>247</v>
      </c>
      <c r="C605" s="8" t="s">
        <v>335</v>
      </c>
      <c r="D605" s="9" t="s">
        <v>467</v>
      </c>
      <c r="E605" s="8" t="s">
        <v>361</v>
      </c>
      <c r="F605" s="8" t="s">
        <v>463</v>
      </c>
      <c r="G605" s="9" t="s">
        <v>501</v>
      </c>
      <c r="H605" s="21" t="n">
        <v>2</v>
      </c>
      <c r="I605" s="8" t="s">
        <v>288</v>
      </c>
      <c r="J605" s="8" t="s">
        <v>337</v>
      </c>
      <c r="K605" s="21" t="n">
        <v>34</v>
      </c>
      <c r="L605" s="21" t="n">
        <v>35</v>
      </c>
      <c r="M605" s="10" t="n">
        <v>16000000</v>
      </c>
      <c r="N605" s="10" t="n">
        <v>0</v>
      </c>
      <c r="O605" s="11" t="n">
        <f aca="false">ROUND((M605+N605)*0.18,0)</f>
        <v>2880000</v>
      </c>
      <c r="P605" s="11" t="n">
        <f aca="false">M605+N605+O605</f>
        <v>18880000</v>
      </c>
      <c r="Q605" s="9" t="s">
        <v>889</v>
      </c>
      <c r="R605" s="8" t="s">
        <v>303</v>
      </c>
      <c r="S605" s="8" t="s">
        <v>293</v>
      </c>
    </row>
    <row r="606" customFormat="false" ht="15" hidden="false" customHeight="false" outlineLevel="0" collapsed="false">
      <c r="B606" s="8" t="s">
        <v>247</v>
      </c>
      <c r="C606" s="8" t="s">
        <v>343</v>
      </c>
      <c r="D606" s="9" t="s">
        <v>473</v>
      </c>
      <c r="E606" s="8" t="s">
        <v>361</v>
      </c>
      <c r="F606" s="8" t="s">
        <v>346</v>
      </c>
      <c r="G606" s="9" t="s">
        <v>474</v>
      </c>
      <c r="H606" s="21" t="n">
        <v>3</v>
      </c>
      <c r="I606" s="8" t="s">
        <v>288</v>
      </c>
      <c r="J606" s="8" t="s">
        <v>458</v>
      </c>
      <c r="K606" s="21" t="n">
        <v>53</v>
      </c>
      <c r="L606" s="21" t="n">
        <v>55</v>
      </c>
      <c r="M606" s="10" t="n">
        <v>10000000</v>
      </c>
      <c r="N606" s="10" t="n">
        <v>0</v>
      </c>
      <c r="O606" s="11" t="n">
        <f aca="false">ROUND((M606+N606)*0.18,0)</f>
        <v>1800000</v>
      </c>
      <c r="P606" s="11" t="n">
        <f aca="false">M606+N606+O606</f>
        <v>11800000</v>
      </c>
      <c r="Q606" s="9" t="s">
        <v>889</v>
      </c>
      <c r="R606" s="8" t="s">
        <v>303</v>
      </c>
      <c r="S606" s="8" t="s">
        <v>293</v>
      </c>
    </row>
    <row r="607" customFormat="false" ht="15" hidden="false" customHeight="false" outlineLevel="0" collapsed="false">
      <c r="B607" s="8" t="s">
        <v>247</v>
      </c>
      <c r="C607" s="8" t="s">
        <v>343</v>
      </c>
      <c r="D607" s="9" t="s">
        <v>473</v>
      </c>
      <c r="E607" s="8" t="s">
        <v>361</v>
      </c>
      <c r="F607" s="8" t="s">
        <v>348</v>
      </c>
      <c r="G607" s="9" t="s">
        <v>502</v>
      </c>
      <c r="H607" s="21" t="n">
        <v>4</v>
      </c>
      <c r="I607" s="8" t="s">
        <v>288</v>
      </c>
      <c r="J607" s="8" t="s">
        <v>346</v>
      </c>
      <c r="K607" s="21" t="n">
        <v>56</v>
      </c>
      <c r="L607" s="21" t="n">
        <v>59</v>
      </c>
      <c r="M607" s="10" t="n">
        <v>10000000</v>
      </c>
      <c r="N607" s="10" t="n">
        <v>0</v>
      </c>
      <c r="O607" s="11" t="n">
        <f aca="false">ROUND((M607+N607)*0.18,0)</f>
        <v>1800000</v>
      </c>
      <c r="P607" s="11" t="n">
        <f aca="false">M607+N607+O607</f>
        <v>11800000</v>
      </c>
      <c r="Q607" s="9" t="s">
        <v>889</v>
      </c>
      <c r="R607" s="8" t="s">
        <v>303</v>
      </c>
      <c r="S607" s="8" t="s">
        <v>293</v>
      </c>
    </row>
    <row r="608" customFormat="false" ht="15" hidden="false" customHeight="false" outlineLevel="0" collapsed="false">
      <c r="B608" s="8" t="s">
        <v>247</v>
      </c>
      <c r="C608" s="8" t="s">
        <v>343</v>
      </c>
      <c r="D608" s="9" t="s">
        <v>473</v>
      </c>
      <c r="E608" s="8" t="s">
        <v>361</v>
      </c>
      <c r="F608" s="8" t="s">
        <v>403</v>
      </c>
      <c r="G608" s="9" t="s">
        <v>514</v>
      </c>
      <c r="H608" s="21" t="n">
        <v>2</v>
      </c>
      <c r="I608" s="8" t="s">
        <v>288</v>
      </c>
      <c r="J608" s="8" t="s">
        <v>348</v>
      </c>
      <c r="K608" s="21" t="n">
        <v>60</v>
      </c>
      <c r="L608" s="21" t="n">
        <v>61</v>
      </c>
      <c r="M608" s="10" t="n">
        <v>10000000</v>
      </c>
      <c r="N608" s="10" t="n">
        <v>0</v>
      </c>
      <c r="O608" s="11" t="n">
        <f aca="false">ROUND((M608+N608)*0.18,0)</f>
        <v>1800000</v>
      </c>
      <c r="P608" s="11" t="n">
        <f aca="false">M608+N608+O608</f>
        <v>11800000</v>
      </c>
      <c r="Q608" s="9" t="s">
        <v>889</v>
      </c>
      <c r="R608" s="8" t="s">
        <v>303</v>
      </c>
      <c r="S608" s="8" t="s">
        <v>293</v>
      </c>
    </row>
    <row r="609" customFormat="false" ht="15" hidden="false" customHeight="false" outlineLevel="0" collapsed="false">
      <c r="B609" s="8" t="s">
        <v>247</v>
      </c>
      <c r="C609" s="8" t="s">
        <v>343</v>
      </c>
      <c r="D609" s="9" t="s">
        <v>473</v>
      </c>
      <c r="E609" s="8" t="s">
        <v>361</v>
      </c>
      <c r="F609" s="8" t="s">
        <v>471</v>
      </c>
      <c r="G609" s="9" t="s">
        <v>515</v>
      </c>
      <c r="H609" s="21" t="n">
        <v>2</v>
      </c>
      <c r="I609" s="8" t="s">
        <v>288</v>
      </c>
      <c r="J609" s="8" t="s">
        <v>403</v>
      </c>
      <c r="K609" s="21" t="n">
        <v>62</v>
      </c>
      <c r="L609" s="21" t="n">
        <v>63</v>
      </c>
      <c r="M609" s="10" t="n">
        <v>10000000</v>
      </c>
      <c r="N609" s="10" t="n">
        <v>0</v>
      </c>
      <c r="O609" s="11" t="n">
        <f aca="false">ROUND((M609+N609)*0.18,0)</f>
        <v>1800000</v>
      </c>
      <c r="P609" s="11" t="n">
        <f aca="false">M609+N609+O609</f>
        <v>11800000</v>
      </c>
      <c r="Q609" s="9" t="s">
        <v>889</v>
      </c>
      <c r="R609" s="8" t="s">
        <v>303</v>
      </c>
      <c r="S609" s="8" t="s">
        <v>293</v>
      </c>
    </row>
    <row r="610" customFormat="false" ht="15" hidden="false" customHeight="false" outlineLevel="0" collapsed="false">
      <c r="B610" s="8" t="s">
        <v>247</v>
      </c>
      <c r="C610" s="8" t="s">
        <v>343</v>
      </c>
      <c r="D610" s="9" t="s">
        <v>473</v>
      </c>
      <c r="E610" s="8" t="s">
        <v>361</v>
      </c>
      <c r="F610" s="8" t="s">
        <v>500</v>
      </c>
      <c r="G610" s="9" t="s">
        <v>477</v>
      </c>
      <c r="H610" s="21" t="n">
        <v>2</v>
      </c>
      <c r="I610" s="8" t="s">
        <v>288</v>
      </c>
      <c r="J610" s="8" t="s">
        <v>471</v>
      </c>
      <c r="K610" s="21" t="n">
        <v>64</v>
      </c>
      <c r="L610" s="21" t="n">
        <v>65</v>
      </c>
      <c r="M610" s="10" t="n">
        <v>10000000</v>
      </c>
      <c r="N610" s="10" t="n">
        <v>0</v>
      </c>
      <c r="O610" s="11" t="n">
        <f aca="false">ROUND((M610+N610)*0.18,0)</f>
        <v>1800000</v>
      </c>
      <c r="P610" s="11" t="n">
        <f aca="false">M610+N610+O610</f>
        <v>11800000</v>
      </c>
      <c r="Q610" s="9" t="s">
        <v>889</v>
      </c>
      <c r="R610" s="8" t="s">
        <v>303</v>
      </c>
      <c r="S610" s="8" t="s">
        <v>293</v>
      </c>
    </row>
    <row r="611" customFormat="false" ht="23.85" hidden="false" customHeight="false" outlineLevel="0" collapsed="false">
      <c r="B611" s="18"/>
      <c r="C611" s="18"/>
      <c r="D611" s="18"/>
      <c r="E611" s="18"/>
      <c r="F611" s="19" t="s">
        <v>890</v>
      </c>
      <c r="G611" s="18"/>
      <c r="H611" s="18"/>
      <c r="I611" s="18"/>
      <c r="J611" s="18"/>
      <c r="K611" s="18"/>
      <c r="L611" s="18"/>
      <c r="M611" s="20" t="n">
        <f aca="false">SUM(M6:M610)</f>
        <v>26234923405</v>
      </c>
      <c r="N611" s="20" t="n">
        <f aca="false">SUM(N6:N610)</f>
        <v>1020890072</v>
      </c>
      <c r="O611" s="20" t="n">
        <f aca="false">SUM(O6:O610)</f>
        <v>4906046423</v>
      </c>
      <c r="P611" s="20" t="n">
        <f aca="false">SUM(P6:P610)</f>
        <v>32161859900</v>
      </c>
      <c r="Q611" s="18"/>
      <c r="R611" s="18"/>
      <c r="S611" s="18"/>
    </row>
  </sheetData>
  <mergeCells count="2">
    <mergeCell ref="B2:S2"/>
    <mergeCell ref="B3:S3"/>
  </mergeCells>
  <dataValidations count="1">
    <dataValidation allowBlank="true" errorStyle="stop" operator="between" showDropDown="false" showErrorMessage="false" showInputMessage="false" sqref="I6:I610" type="list">
      <formula1>"FD,DD,FF,DF"</formula1>
      <formula2>0</formula2>
    </dataValidation>
  </dataValidations>
  <printOptions headings="false" gridLines="false" gridLinesSet="true" horizontalCentered="false" verticalCentered="false"/>
  <pageMargins left="0.2" right="0.2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11" min="7" style="0" width="15"/>
    <col collapsed="false" customWidth="true" hidden="false" outlineLevel="0" max="12" min="12" style="0" width="12"/>
  </cols>
  <sheetData>
    <row r="2" customFormat="false" ht="30" hidden="false" customHeight="true" outlineLevel="0" collapsed="false">
      <c r="B2" s="1" t="s">
        <v>891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45.75" hidden="false" customHeight="true" outlineLevel="0" collapsed="false">
      <c r="B3" s="2" t="s">
        <v>892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30" hidden="false" customHeight="true" outlineLevel="0" collapsed="false">
      <c r="B5" s="7" t="s">
        <v>73</v>
      </c>
      <c r="C5" s="7" t="s">
        <v>79</v>
      </c>
      <c r="D5" s="7" t="s">
        <v>75</v>
      </c>
      <c r="E5" s="7" t="s">
        <v>83</v>
      </c>
      <c r="F5" s="7" t="s">
        <v>88</v>
      </c>
      <c r="G5" s="7" t="s">
        <v>893</v>
      </c>
      <c r="H5" s="7" t="s">
        <v>894</v>
      </c>
      <c r="I5" s="7" t="s">
        <v>895</v>
      </c>
      <c r="J5" s="7" t="s">
        <v>896</v>
      </c>
      <c r="K5" s="7" t="s">
        <v>897</v>
      </c>
      <c r="L5" s="7" t="s">
        <v>68</v>
      </c>
    </row>
    <row r="6" customFormat="false" ht="15" hidden="false" customHeight="false" outlineLevel="0" collapsed="false">
      <c r="B6" s="8" t="s">
        <v>97</v>
      </c>
      <c r="C6" s="9" t="s">
        <v>102</v>
      </c>
      <c r="D6" s="8" t="s">
        <v>99</v>
      </c>
      <c r="E6" s="8" t="s">
        <v>31</v>
      </c>
      <c r="F6" s="10" t="n">
        <v>1000000000</v>
      </c>
      <c r="G6" s="10" t="n">
        <v>1000000000</v>
      </c>
      <c r="H6" s="10" t="n">
        <v>0</v>
      </c>
      <c r="I6" s="10" t="n">
        <v>0</v>
      </c>
      <c r="J6" s="10" t="n">
        <v>0</v>
      </c>
      <c r="K6" s="10" t="n">
        <v>0</v>
      </c>
      <c r="L6" s="8" t="str">
        <f aca="false">IF(SUM(G6:K6)=F6,"OK","ÉCART")</f>
        <v>OK</v>
      </c>
    </row>
    <row r="7" customFormat="false" ht="15" hidden="false" customHeight="false" outlineLevel="0" collapsed="false">
      <c r="B7" s="12" t="s">
        <v>110</v>
      </c>
      <c r="C7" s="13" t="s">
        <v>113</v>
      </c>
      <c r="D7" s="12" t="s">
        <v>111</v>
      </c>
      <c r="E7" s="12" t="s">
        <v>31</v>
      </c>
      <c r="F7" s="14" t="n">
        <v>2899710000</v>
      </c>
      <c r="G7" s="14" t="n">
        <v>2899710000</v>
      </c>
      <c r="H7" s="14" t="n">
        <v>0</v>
      </c>
      <c r="I7" s="14" t="n">
        <v>0</v>
      </c>
      <c r="J7" s="14" t="n">
        <v>0</v>
      </c>
      <c r="K7" s="14" t="n">
        <v>0</v>
      </c>
      <c r="L7" s="12" t="str">
        <f aca="false">IF(SUM(G7:K7)=F7,"OK","ÉCART")</f>
        <v>OK</v>
      </c>
    </row>
    <row r="8" customFormat="false" ht="15" hidden="false" customHeight="false" outlineLevel="0" collapsed="false">
      <c r="B8" s="12" t="s">
        <v>118</v>
      </c>
      <c r="C8" s="13" t="s">
        <v>121</v>
      </c>
      <c r="D8" s="12" t="s">
        <v>111</v>
      </c>
      <c r="E8" s="12" t="s">
        <v>37</v>
      </c>
      <c r="F8" s="14" t="n">
        <v>207934725</v>
      </c>
      <c r="G8" s="14" t="n">
        <v>207934725</v>
      </c>
      <c r="H8" s="14" t="n">
        <v>0</v>
      </c>
      <c r="I8" s="14" t="n">
        <v>0</v>
      </c>
      <c r="J8" s="14" t="n">
        <v>0</v>
      </c>
      <c r="K8" s="14" t="n">
        <v>0</v>
      </c>
      <c r="L8" s="12" t="str">
        <f aca="false">IF(SUM(G8:K8)=F8,"OK","ÉCART")</f>
        <v>OK</v>
      </c>
    </row>
    <row r="9" customFormat="false" ht="15" hidden="false" customHeight="false" outlineLevel="0" collapsed="false">
      <c r="B9" s="12" t="s">
        <v>127</v>
      </c>
      <c r="C9" s="13" t="s">
        <v>130</v>
      </c>
      <c r="D9" s="12" t="s">
        <v>128</v>
      </c>
      <c r="E9" s="12" t="s">
        <v>37</v>
      </c>
      <c r="F9" s="14" t="n">
        <v>1153434670</v>
      </c>
      <c r="G9" s="14" t="n">
        <v>1153434670</v>
      </c>
      <c r="H9" s="14" t="n">
        <v>0</v>
      </c>
      <c r="I9" s="14" t="n">
        <v>0</v>
      </c>
      <c r="J9" s="14" t="n">
        <v>0</v>
      </c>
      <c r="K9" s="14" t="n">
        <v>0</v>
      </c>
      <c r="L9" s="12" t="str">
        <f aca="false">IF(SUM(G9:K9)=F9,"OK","ÉCART")</f>
        <v>OK</v>
      </c>
    </row>
    <row r="10" customFormat="false" ht="15" hidden="false" customHeight="false" outlineLevel="0" collapsed="false">
      <c r="B10" s="12" t="s">
        <v>136</v>
      </c>
      <c r="C10" s="13" t="s">
        <v>139</v>
      </c>
      <c r="D10" s="12" t="s">
        <v>137</v>
      </c>
      <c r="E10" s="12" t="s">
        <v>37</v>
      </c>
      <c r="F10" s="14" t="n">
        <v>1832414627</v>
      </c>
      <c r="G10" s="14" t="n">
        <v>1832414627</v>
      </c>
      <c r="H10" s="14" t="n">
        <v>0</v>
      </c>
      <c r="I10" s="14" t="n">
        <v>0</v>
      </c>
      <c r="J10" s="14" t="n">
        <v>0</v>
      </c>
      <c r="K10" s="14" t="n">
        <v>0</v>
      </c>
      <c r="L10" s="12" t="str">
        <f aca="false">IF(SUM(G10:K10)=F10,"OK","ÉCART")</f>
        <v>OK</v>
      </c>
    </row>
    <row r="11" customFormat="false" ht="15" hidden="false" customHeight="false" outlineLevel="0" collapsed="false">
      <c r="B11" s="8" t="s">
        <v>145</v>
      </c>
      <c r="C11" s="9" t="s">
        <v>150</v>
      </c>
      <c r="D11" s="8" t="s">
        <v>147</v>
      </c>
      <c r="E11" s="8" t="s">
        <v>31</v>
      </c>
      <c r="F11" s="10" t="n">
        <v>126000000</v>
      </c>
      <c r="G11" s="10" t="n">
        <v>126000000</v>
      </c>
      <c r="H11" s="10" t="n">
        <v>0</v>
      </c>
      <c r="I11" s="10" t="n">
        <v>0</v>
      </c>
      <c r="J11" s="10" t="n">
        <v>0</v>
      </c>
      <c r="K11" s="10" t="n">
        <v>0</v>
      </c>
      <c r="L11" s="8" t="str">
        <f aca="false">IF(SUM(G11:K11)=F11,"OK","ÉCART")</f>
        <v>OK</v>
      </c>
    </row>
    <row r="12" customFormat="false" ht="15" hidden="false" customHeight="false" outlineLevel="0" collapsed="false">
      <c r="B12" s="8" t="s">
        <v>156</v>
      </c>
      <c r="C12" s="9" t="s">
        <v>158</v>
      </c>
      <c r="D12" s="8" t="s">
        <v>99</v>
      </c>
      <c r="E12" s="8" t="s">
        <v>28</v>
      </c>
      <c r="F12" s="10" t="n">
        <v>516000000</v>
      </c>
      <c r="G12" s="10" t="n">
        <v>516000000</v>
      </c>
      <c r="H12" s="10" t="n">
        <v>0</v>
      </c>
      <c r="I12" s="10" t="n">
        <v>0</v>
      </c>
      <c r="J12" s="10" t="n">
        <v>0</v>
      </c>
      <c r="K12" s="10" t="n">
        <v>0</v>
      </c>
      <c r="L12" s="8" t="str">
        <f aca="false">IF(SUM(G12:K12)=F12,"OK","ÉCART")</f>
        <v>OK</v>
      </c>
    </row>
    <row r="13" customFormat="false" ht="15" hidden="false" customHeight="false" outlineLevel="0" collapsed="false">
      <c r="B13" s="12" t="s">
        <v>164</v>
      </c>
      <c r="C13" s="13" t="s">
        <v>166</v>
      </c>
      <c r="D13" s="12" t="s">
        <v>128</v>
      </c>
      <c r="E13" s="12" t="s">
        <v>31</v>
      </c>
      <c r="F13" s="14" t="n">
        <v>120939743</v>
      </c>
      <c r="G13" s="14" t="n">
        <v>120939743</v>
      </c>
      <c r="H13" s="14" t="n">
        <v>0</v>
      </c>
      <c r="I13" s="14" t="n">
        <v>0</v>
      </c>
      <c r="J13" s="14" t="n">
        <v>0</v>
      </c>
      <c r="K13" s="14" t="n">
        <v>0</v>
      </c>
      <c r="L13" s="12" t="str">
        <f aca="false">IF(SUM(G13:K13)=F13,"OK","ÉCART")</f>
        <v>OK</v>
      </c>
    </row>
    <row r="14" customFormat="false" ht="15" hidden="false" customHeight="false" outlineLevel="0" collapsed="false">
      <c r="B14" s="8" t="s">
        <v>170</v>
      </c>
      <c r="C14" s="9" t="s">
        <v>171</v>
      </c>
      <c r="D14" s="8" t="s">
        <v>111</v>
      </c>
      <c r="E14" s="8" t="s">
        <v>28</v>
      </c>
      <c r="F14" s="10" t="n">
        <v>1500000000</v>
      </c>
      <c r="G14" s="10" t="n">
        <v>0</v>
      </c>
      <c r="H14" s="10" t="n">
        <v>1500000000</v>
      </c>
      <c r="I14" s="10" t="n">
        <v>0</v>
      </c>
      <c r="J14" s="10" t="n">
        <v>0</v>
      </c>
      <c r="K14" s="10" t="n">
        <v>0</v>
      </c>
      <c r="L14" s="8" t="str">
        <f aca="false">IF(SUM(G14:K14)=F14,"OK","ÉCART")</f>
        <v>OK</v>
      </c>
    </row>
    <row r="15" customFormat="false" ht="15" hidden="false" customHeight="false" outlineLevel="0" collapsed="false">
      <c r="B15" s="8" t="s">
        <v>175</v>
      </c>
      <c r="C15" s="9" t="s">
        <v>176</v>
      </c>
      <c r="D15" s="8" t="s">
        <v>128</v>
      </c>
      <c r="E15" s="8" t="s">
        <v>28</v>
      </c>
      <c r="F15" s="10" t="n">
        <v>1246000000</v>
      </c>
      <c r="G15" s="10" t="n">
        <v>0</v>
      </c>
      <c r="H15" s="10" t="n">
        <v>1246000000</v>
      </c>
      <c r="I15" s="10" t="n">
        <v>0</v>
      </c>
      <c r="J15" s="10" t="n">
        <v>0</v>
      </c>
      <c r="K15" s="10" t="n">
        <v>0</v>
      </c>
      <c r="L15" s="8" t="str">
        <f aca="false">IF(SUM(G15:K15)=F15,"OK","ÉCART")</f>
        <v>OK</v>
      </c>
    </row>
    <row r="16" customFormat="false" ht="15" hidden="false" customHeight="false" outlineLevel="0" collapsed="false">
      <c r="B16" s="8" t="s">
        <v>179</v>
      </c>
      <c r="C16" s="9" t="s">
        <v>182</v>
      </c>
      <c r="D16" s="8" t="s">
        <v>147</v>
      </c>
      <c r="E16" s="8" t="s">
        <v>28</v>
      </c>
      <c r="F16" s="10" t="n">
        <v>513000000</v>
      </c>
      <c r="G16" s="10" t="n">
        <v>0</v>
      </c>
      <c r="H16" s="10" t="n">
        <v>513000000</v>
      </c>
      <c r="I16" s="10" t="n">
        <v>0</v>
      </c>
      <c r="J16" s="10" t="n">
        <v>0</v>
      </c>
      <c r="K16" s="10" t="n">
        <v>0</v>
      </c>
      <c r="L16" s="8" t="str">
        <f aca="false">IF(SUM(G16:K16)=F16,"OK","ÉCART")</f>
        <v>OK</v>
      </c>
    </row>
    <row r="17" customFormat="false" ht="15" hidden="false" customHeight="false" outlineLevel="0" collapsed="false">
      <c r="B17" s="8" t="s">
        <v>188</v>
      </c>
      <c r="C17" s="9" t="s">
        <v>189</v>
      </c>
      <c r="D17" s="8" t="s">
        <v>111</v>
      </c>
      <c r="E17" s="8" t="s">
        <v>28</v>
      </c>
      <c r="F17" s="10" t="n">
        <v>2800000000</v>
      </c>
      <c r="G17" s="10" t="n">
        <v>0</v>
      </c>
      <c r="H17" s="10" t="n">
        <v>2800000000</v>
      </c>
      <c r="I17" s="10" t="n">
        <v>0</v>
      </c>
      <c r="J17" s="10" t="n">
        <v>0</v>
      </c>
      <c r="K17" s="10" t="n">
        <v>0</v>
      </c>
      <c r="L17" s="8" t="str">
        <f aca="false">IF(SUM(G17:K17)=F17,"OK","ÉCART")</f>
        <v>OK</v>
      </c>
    </row>
    <row r="18" customFormat="false" ht="15" hidden="false" customHeight="false" outlineLevel="0" collapsed="false">
      <c r="B18" s="8" t="s">
        <v>192</v>
      </c>
      <c r="C18" s="9" t="s">
        <v>193</v>
      </c>
      <c r="D18" s="8" t="s">
        <v>99</v>
      </c>
      <c r="E18" s="8" t="s">
        <v>28</v>
      </c>
      <c r="F18" s="10" t="n">
        <v>1000000000</v>
      </c>
      <c r="G18" s="10" t="n">
        <v>0</v>
      </c>
      <c r="H18" s="10" t="n">
        <v>1000000000</v>
      </c>
      <c r="I18" s="10" t="n">
        <v>0</v>
      </c>
      <c r="J18" s="10" t="n">
        <v>0</v>
      </c>
      <c r="K18" s="10" t="n">
        <v>0</v>
      </c>
      <c r="L18" s="8" t="str">
        <f aca="false">IF(SUM(G18:K18)=F18,"OK","ÉCART")</f>
        <v>OK</v>
      </c>
    </row>
    <row r="19" customFormat="false" ht="15" hidden="false" customHeight="false" outlineLevel="0" collapsed="false">
      <c r="B19" s="8" t="s">
        <v>196</v>
      </c>
      <c r="C19" s="9" t="s">
        <v>198</v>
      </c>
      <c r="D19" s="8" t="s">
        <v>137</v>
      </c>
      <c r="E19" s="8" t="s">
        <v>28</v>
      </c>
      <c r="F19" s="10" t="n">
        <v>6169000000</v>
      </c>
      <c r="G19" s="10" t="n">
        <v>0</v>
      </c>
      <c r="H19" s="10" t="n">
        <v>6169000000</v>
      </c>
      <c r="I19" s="10" t="n">
        <v>0</v>
      </c>
      <c r="J19" s="10" t="n">
        <v>0</v>
      </c>
      <c r="K19" s="10" t="n">
        <v>0</v>
      </c>
      <c r="L19" s="8" t="str">
        <f aca="false">IF(SUM(G19:K19)=F19,"OK","ÉCART")</f>
        <v>OK</v>
      </c>
    </row>
    <row r="20" customFormat="false" ht="15" hidden="false" customHeight="false" outlineLevel="0" collapsed="false">
      <c r="B20" s="8" t="s">
        <v>202</v>
      </c>
      <c r="C20" s="9" t="s">
        <v>203</v>
      </c>
      <c r="D20" s="8" t="s">
        <v>128</v>
      </c>
      <c r="E20" s="8" t="s">
        <v>28</v>
      </c>
      <c r="F20" s="10" t="n">
        <v>300000000</v>
      </c>
      <c r="G20" s="10" t="n">
        <v>0</v>
      </c>
      <c r="H20" s="10" t="n">
        <v>300000000</v>
      </c>
      <c r="I20" s="10" t="n">
        <v>0</v>
      </c>
      <c r="J20" s="10" t="n">
        <v>0</v>
      </c>
      <c r="K20" s="10" t="n">
        <v>0</v>
      </c>
      <c r="L20" s="8" t="str">
        <f aca="false">IF(SUM(G20:K20)=F20,"OK","ÉCART")</f>
        <v>OK</v>
      </c>
    </row>
    <row r="21" customFormat="false" ht="15" hidden="false" customHeight="false" outlineLevel="0" collapsed="false">
      <c r="B21" s="8" t="s">
        <v>205</v>
      </c>
      <c r="C21" s="9" t="s">
        <v>206</v>
      </c>
      <c r="D21" s="8" t="s">
        <v>111</v>
      </c>
      <c r="E21" s="8" t="s">
        <v>28</v>
      </c>
      <c r="F21" s="10" t="n">
        <v>2800000000</v>
      </c>
      <c r="G21" s="10" t="n">
        <v>0</v>
      </c>
      <c r="H21" s="10" t="n">
        <v>0</v>
      </c>
      <c r="I21" s="10" t="n">
        <v>2800000000</v>
      </c>
      <c r="J21" s="10" t="n">
        <v>0</v>
      </c>
      <c r="K21" s="10" t="n">
        <v>0</v>
      </c>
      <c r="L21" s="8" t="str">
        <f aca="false">IF(SUM(G21:K21)=F21,"OK","ÉCART")</f>
        <v>OK</v>
      </c>
    </row>
    <row r="22" customFormat="false" ht="15" hidden="false" customHeight="false" outlineLevel="0" collapsed="false">
      <c r="B22" s="8" t="s">
        <v>209</v>
      </c>
      <c r="C22" s="9" t="s">
        <v>210</v>
      </c>
      <c r="D22" s="8" t="s">
        <v>99</v>
      </c>
      <c r="E22" s="8" t="s">
        <v>28</v>
      </c>
      <c r="F22" s="10" t="n">
        <v>1000000000</v>
      </c>
      <c r="G22" s="10" t="n">
        <v>0</v>
      </c>
      <c r="H22" s="10" t="n">
        <v>0</v>
      </c>
      <c r="I22" s="10" t="n">
        <v>1000000000</v>
      </c>
      <c r="J22" s="10" t="n">
        <v>0</v>
      </c>
      <c r="K22" s="10" t="n">
        <v>0</v>
      </c>
      <c r="L22" s="8" t="str">
        <f aca="false">IF(SUM(G22:K22)=F22,"OK","ÉCART")</f>
        <v>OK</v>
      </c>
    </row>
    <row r="23" customFormat="false" ht="15" hidden="false" customHeight="false" outlineLevel="0" collapsed="false">
      <c r="B23" s="8" t="s">
        <v>214</v>
      </c>
      <c r="C23" s="9" t="s">
        <v>215</v>
      </c>
      <c r="D23" s="8" t="s">
        <v>111</v>
      </c>
      <c r="E23" s="8" t="s">
        <v>28</v>
      </c>
      <c r="F23" s="10" t="n">
        <v>1500000000</v>
      </c>
      <c r="G23" s="10" t="n">
        <v>0</v>
      </c>
      <c r="H23" s="10" t="n">
        <v>0</v>
      </c>
      <c r="I23" s="10" t="n">
        <v>1500000000</v>
      </c>
      <c r="J23" s="10" t="n">
        <v>0</v>
      </c>
      <c r="K23" s="10" t="n">
        <v>0</v>
      </c>
      <c r="L23" s="8" t="str">
        <f aca="false">IF(SUM(G23:K23)=F23,"OK","ÉCART")</f>
        <v>OK</v>
      </c>
    </row>
    <row r="24" customFormat="false" ht="15" hidden="false" customHeight="false" outlineLevel="0" collapsed="false">
      <c r="B24" s="8" t="s">
        <v>217</v>
      </c>
      <c r="C24" s="9" t="s">
        <v>218</v>
      </c>
      <c r="D24" s="8" t="s">
        <v>128</v>
      </c>
      <c r="E24" s="8" t="s">
        <v>28</v>
      </c>
      <c r="F24" s="10" t="n">
        <v>1000000000</v>
      </c>
      <c r="G24" s="10" t="n">
        <v>0</v>
      </c>
      <c r="H24" s="10" t="n">
        <v>0</v>
      </c>
      <c r="I24" s="10" t="n">
        <v>1000000000</v>
      </c>
      <c r="J24" s="10" t="n">
        <v>0</v>
      </c>
      <c r="K24" s="10" t="n">
        <v>0</v>
      </c>
      <c r="L24" s="8" t="str">
        <f aca="false">IF(SUM(G24:K24)=F24,"OK","ÉCART")</f>
        <v>OK</v>
      </c>
    </row>
    <row r="25" customFormat="false" ht="15" hidden="false" customHeight="false" outlineLevel="0" collapsed="false">
      <c r="B25" s="8" t="s">
        <v>220</v>
      </c>
      <c r="C25" s="9" t="s">
        <v>222</v>
      </c>
      <c r="D25" s="8" t="s">
        <v>137</v>
      </c>
      <c r="E25" s="8" t="s">
        <v>28</v>
      </c>
      <c r="F25" s="10" t="n">
        <v>4021000000</v>
      </c>
      <c r="G25" s="10" t="n">
        <v>0</v>
      </c>
      <c r="H25" s="10" t="n">
        <v>0</v>
      </c>
      <c r="I25" s="10" t="n">
        <v>4021000000</v>
      </c>
      <c r="J25" s="10" t="n">
        <v>0</v>
      </c>
      <c r="K25" s="10" t="n">
        <v>0</v>
      </c>
      <c r="L25" s="8" t="str">
        <f aca="false">IF(SUM(G25:K25)=F25,"OK","ÉCART")</f>
        <v>OK</v>
      </c>
    </row>
    <row r="26" customFormat="false" ht="15" hidden="false" customHeight="false" outlineLevel="0" collapsed="false">
      <c r="B26" s="8" t="s">
        <v>226</v>
      </c>
      <c r="C26" s="9" t="s">
        <v>229</v>
      </c>
      <c r="D26" s="8" t="s">
        <v>147</v>
      </c>
      <c r="E26" s="8" t="s">
        <v>28</v>
      </c>
      <c r="F26" s="10" t="n">
        <v>400000000</v>
      </c>
      <c r="G26" s="10" t="n">
        <v>0</v>
      </c>
      <c r="H26" s="10" t="n">
        <v>0</v>
      </c>
      <c r="I26" s="10" t="n">
        <v>400000000</v>
      </c>
      <c r="J26" s="10" t="n">
        <v>0</v>
      </c>
      <c r="K26" s="10" t="n">
        <v>0</v>
      </c>
      <c r="L26" s="8" t="str">
        <f aca="false">IF(SUM(G26:K26)=F26,"OK","ÉCART")</f>
        <v>OK</v>
      </c>
    </row>
    <row r="27" customFormat="false" ht="15" hidden="false" customHeight="false" outlineLevel="0" collapsed="false">
      <c r="B27" s="8" t="s">
        <v>233</v>
      </c>
      <c r="C27" s="9" t="s">
        <v>234</v>
      </c>
      <c r="D27" s="8" t="s">
        <v>128</v>
      </c>
      <c r="E27" s="8" t="s">
        <v>28</v>
      </c>
      <c r="F27" s="10" t="n">
        <v>300000000</v>
      </c>
      <c r="G27" s="10" t="n">
        <v>0</v>
      </c>
      <c r="H27" s="10" t="n">
        <v>0</v>
      </c>
      <c r="I27" s="10" t="n">
        <v>300000000</v>
      </c>
      <c r="J27" s="10" t="n">
        <v>0</v>
      </c>
      <c r="K27" s="10" t="n">
        <v>0</v>
      </c>
      <c r="L27" s="8" t="str">
        <f aca="false">IF(SUM(G27:K27)=F27,"OK","ÉCART")</f>
        <v>OK</v>
      </c>
    </row>
    <row r="28" customFormat="false" ht="15" hidden="false" customHeight="false" outlineLevel="0" collapsed="false">
      <c r="B28" s="8" t="s">
        <v>236</v>
      </c>
      <c r="C28" s="9" t="s">
        <v>237</v>
      </c>
      <c r="D28" s="8" t="s">
        <v>111</v>
      </c>
      <c r="E28" s="8" t="s">
        <v>28</v>
      </c>
      <c r="F28" s="10" t="n">
        <v>2800000000</v>
      </c>
      <c r="G28" s="10" t="n">
        <v>0</v>
      </c>
      <c r="H28" s="10" t="n">
        <v>0</v>
      </c>
      <c r="I28" s="10" t="n">
        <v>0</v>
      </c>
      <c r="J28" s="10" t="n">
        <v>2800000000</v>
      </c>
      <c r="K28" s="10" t="n">
        <v>0</v>
      </c>
      <c r="L28" s="8" t="str">
        <f aca="false">IF(SUM(G28:K28)=F28,"OK","ÉCART")</f>
        <v>OK</v>
      </c>
    </row>
    <row r="29" customFormat="false" ht="15" hidden="false" customHeight="false" outlineLevel="0" collapsed="false">
      <c r="B29" s="8" t="s">
        <v>242</v>
      </c>
      <c r="C29" s="9" t="s">
        <v>243</v>
      </c>
      <c r="D29" s="8" t="s">
        <v>111</v>
      </c>
      <c r="E29" s="8" t="s">
        <v>28</v>
      </c>
      <c r="F29" s="10" t="n">
        <v>1500000000</v>
      </c>
      <c r="G29" s="10" t="n">
        <v>0</v>
      </c>
      <c r="H29" s="10" t="n">
        <v>0</v>
      </c>
      <c r="I29" s="10" t="n">
        <v>0</v>
      </c>
      <c r="J29" s="10" t="n">
        <v>1500000000</v>
      </c>
      <c r="K29" s="10" t="n">
        <v>0</v>
      </c>
      <c r="L29" s="8" t="str">
        <f aca="false">IF(SUM(G29:K29)=F29,"OK","ÉCART")</f>
        <v>OK</v>
      </c>
    </row>
    <row r="30" customFormat="false" ht="15" hidden="false" customHeight="false" outlineLevel="0" collapsed="false">
      <c r="B30" s="8" t="s">
        <v>247</v>
      </c>
      <c r="C30" s="9" t="s">
        <v>248</v>
      </c>
      <c r="D30" s="8" t="s">
        <v>128</v>
      </c>
      <c r="E30" s="8" t="s">
        <v>28</v>
      </c>
      <c r="F30" s="10" t="n">
        <v>1000000000</v>
      </c>
      <c r="G30" s="10" t="n">
        <v>0</v>
      </c>
      <c r="H30" s="10" t="n">
        <v>0</v>
      </c>
      <c r="I30" s="10" t="n">
        <v>0</v>
      </c>
      <c r="J30" s="10" t="n">
        <v>1000000000</v>
      </c>
      <c r="K30" s="10" t="n">
        <v>0</v>
      </c>
      <c r="L30" s="8" t="str">
        <f aca="false">IF(SUM(G30:K30)=F30,"OK","ÉCART")</f>
        <v>OK</v>
      </c>
    </row>
    <row r="31" customFormat="false" ht="15" hidden="false" customHeight="false" outlineLevel="0" collapsed="false">
      <c r="B31" s="15" t="s">
        <v>250</v>
      </c>
      <c r="C31" s="16" t="s">
        <v>251</v>
      </c>
      <c r="D31" s="15" t="s">
        <v>99</v>
      </c>
      <c r="E31" s="15" t="s">
        <v>46</v>
      </c>
      <c r="F31" s="17" t="n">
        <v>235489640</v>
      </c>
      <c r="G31" s="17" t="n">
        <v>235489640</v>
      </c>
      <c r="H31" s="17" t="n">
        <v>0</v>
      </c>
      <c r="I31" s="17" t="n">
        <v>0</v>
      </c>
      <c r="J31" s="17" t="n">
        <v>0</v>
      </c>
      <c r="K31" s="17" t="n">
        <v>0</v>
      </c>
      <c r="L31" s="15" t="str">
        <f aca="false">IF(SUM(G31:K31)=F31,"OK","ÉCART")</f>
        <v>OK</v>
      </c>
    </row>
    <row r="32" customFormat="false" ht="15" hidden="false" customHeight="false" outlineLevel="0" collapsed="false">
      <c r="B32" s="15" t="s">
        <v>256</v>
      </c>
      <c r="C32" s="16" t="s">
        <v>257</v>
      </c>
      <c r="D32" s="15" t="s">
        <v>111</v>
      </c>
      <c r="E32" s="15" t="s">
        <v>46</v>
      </c>
      <c r="F32" s="17" t="n">
        <v>500000000</v>
      </c>
      <c r="G32" s="17" t="n">
        <v>500000000</v>
      </c>
      <c r="H32" s="17" t="n">
        <v>0</v>
      </c>
      <c r="I32" s="17" t="n">
        <v>0</v>
      </c>
      <c r="J32" s="17" t="n">
        <v>0</v>
      </c>
      <c r="K32" s="17" t="n">
        <v>0</v>
      </c>
      <c r="L32" s="15" t="str">
        <f aca="false">IF(SUM(G32:K32)=F32,"OK","ÉCART")</f>
        <v>OK</v>
      </c>
    </row>
    <row r="33" customFormat="false" ht="15" hidden="false" customHeight="false" outlineLevel="0" collapsed="false">
      <c r="B33" s="15" t="s">
        <v>260</v>
      </c>
      <c r="C33" s="16" t="s">
        <v>261</v>
      </c>
      <c r="D33" s="15" t="s">
        <v>99</v>
      </c>
      <c r="E33" s="15" t="s">
        <v>46</v>
      </c>
      <c r="F33" s="17" t="n">
        <v>264510360</v>
      </c>
      <c r="G33" s="17" t="n">
        <v>264510360</v>
      </c>
      <c r="H33" s="17" t="n">
        <v>0</v>
      </c>
      <c r="I33" s="17" t="n">
        <v>0</v>
      </c>
      <c r="J33" s="17" t="n">
        <v>0</v>
      </c>
      <c r="K33" s="17" t="n">
        <v>0</v>
      </c>
      <c r="L33" s="15" t="str">
        <f aca="false">IF(SUM(G33:K33)=F33,"OK","ÉCART")</f>
        <v>OK</v>
      </c>
    </row>
    <row r="34" customFormat="false" ht="15" hidden="false" customHeight="false" outlineLevel="0" collapsed="false">
      <c r="B34" s="18"/>
      <c r="C34" s="19" t="s">
        <v>898</v>
      </c>
      <c r="D34" s="18"/>
      <c r="E34" s="18"/>
      <c r="F34" s="20" t="n">
        <f aca="false">SUM(F6:F33)</f>
        <v>38705433765</v>
      </c>
      <c r="G34" s="20" t="n">
        <f aca="false">SUM(G6:G33)</f>
        <v>8856433765</v>
      </c>
      <c r="H34" s="20" t="n">
        <f aca="false">SUM(H6:H33)</f>
        <v>13528000000</v>
      </c>
      <c r="I34" s="20" t="n">
        <f aca="false">SUM(I6:I33)</f>
        <v>11021000000</v>
      </c>
      <c r="J34" s="20" t="n">
        <f aca="false">SUM(J6:J33)</f>
        <v>5300000000</v>
      </c>
      <c r="K34" s="20" t="n">
        <f aca="false">SUM(K6:K33)</f>
        <v>0</v>
      </c>
      <c r="L34" s="18"/>
    </row>
  </sheetData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74"/>
  </cols>
  <sheetData>
    <row r="2" customFormat="false" ht="30" hidden="false" customHeight="true" outlineLevel="0" collapsed="false">
      <c r="B2" s="1" t="s">
        <v>899</v>
      </c>
      <c r="C2" s="1"/>
      <c r="D2" s="1"/>
      <c r="E2" s="1"/>
      <c r="F2" s="1"/>
    </row>
    <row r="3" customFormat="false" ht="45.75" hidden="false" customHeight="true" outlineLevel="0" collapsed="false">
      <c r="B3" s="2" t="s">
        <v>900</v>
      </c>
      <c r="C3" s="2"/>
      <c r="D3" s="2"/>
      <c r="E3" s="2"/>
      <c r="F3" s="2"/>
    </row>
    <row r="5" customFormat="false" ht="30" hidden="false" customHeight="true" outlineLevel="0" collapsed="false">
      <c r="B5" s="7" t="s">
        <v>68</v>
      </c>
      <c r="C5" s="7" t="s">
        <v>901</v>
      </c>
      <c r="D5" s="7" t="s">
        <v>902</v>
      </c>
      <c r="E5" s="7" t="s">
        <v>89</v>
      </c>
      <c r="F5" s="7" t="s">
        <v>96</v>
      </c>
    </row>
    <row r="6" customFormat="false" ht="15" hidden="false" customHeight="true" outlineLevel="0" collapsed="false">
      <c r="B6" s="3" t="s">
        <v>903</v>
      </c>
      <c r="C6" s="3"/>
      <c r="D6" s="3"/>
      <c r="E6" s="3"/>
      <c r="F6" s="3"/>
    </row>
    <row r="7" customFormat="false" ht="15" hidden="false" customHeight="false" outlineLevel="0" collapsed="false">
      <c r="B7" s="23" t="s">
        <v>904</v>
      </c>
      <c r="C7" s="24" t="n">
        <v>39829912544</v>
      </c>
      <c r="D7" s="24"/>
      <c r="E7" s="25"/>
      <c r="F7" s="26"/>
    </row>
    <row r="8" customFormat="false" ht="15" hidden="false" customHeight="false" outlineLevel="0" collapsed="false">
      <c r="B8" s="27" t="s">
        <v>905</v>
      </c>
      <c r="C8" s="28" t="n">
        <v>38705433765</v>
      </c>
      <c r="D8" s="28" t="n">
        <v>39829912544</v>
      </c>
      <c r="E8" s="29" t="n">
        <f aca="false">C8-D8</f>
        <v>-1124478779</v>
      </c>
      <c r="F8" s="26" t="s">
        <v>906</v>
      </c>
    </row>
    <row r="9" customFormat="false" ht="15" hidden="false" customHeight="false" outlineLevel="0" collapsed="false">
      <c r="B9" s="23" t="s">
        <v>907</v>
      </c>
      <c r="C9" s="24" t="n">
        <v>37669000000</v>
      </c>
      <c r="D9" s="24" t="n">
        <v>37670000000</v>
      </c>
      <c r="E9" s="25" t="n">
        <f aca="false">C9-D9</f>
        <v>-1000000</v>
      </c>
      <c r="F9" s="26" t="s">
        <v>908</v>
      </c>
    </row>
    <row r="11" customFormat="false" ht="15" hidden="false" customHeight="true" outlineLevel="0" collapsed="false">
      <c r="B11" s="3" t="s">
        <v>909</v>
      </c>
      <c r="C11" s="3"/>
      <c r="D11" s="3"/>
      <c r="E11" s="3"/>
      <c r="F11" s="3"/>
    </row>
    <row r="12" customFormat="false" ht="15" hidden="false" customHeight="false" outlineLevel="0" collapsed="false">
      <c r="B12" s="23" t="s">
        <v>910</v>
      </c>
      <c r="C12" s="24" t="n">
        <v>8856433765</v>
      </c>
      <c r="D12" s="24" t="n">
        <v>8116000000</v>
      </c>
      <c r="E12" s="25" t="n">
        <f aca="false">C12-D12</f>
        <v>740433765</v>
      </c>
      <c r="F12" s="26" t="s">
        <v>911</v>
      </c>
    </row>
    <row r="13" customFormat="false" ht="15" hidden="false" customHeight="false" outlineLevel="0" collapsed="false">
      <c r="B13" s="23" t="s">
        <v>912</v>
      </c>
      <c r="C13" s="24" t="n">
        <v>13528000000</v>
      </c>
      <c r="D13" s="24" t="n">
        <v>13232000000</v>
      </c>
      <c r="E13" s="25" t="n">
        <f aca="false">C13-D13</f>
        <v>296000000</v>
      </c>
      <c r="F13" s="26" t="s">
        <v>913</v>
      </c>
    </row>
    <row r="14" customFormat="false" ht="15" hidden="false" customHeight="false" outlineLevel="0" collapsed="false">
      <c r="B14" s="23" t="s">
        <v>914</v>
      </c>
      <c r="C14" s="24" t="n">
        <v>11021000000</v>
      </c>
      <c r="D14" s="24" t="n">
        <v>11021000000</v>
      </c>
      <c r="E14" s="25" t="n">
        <f aca="false">C14-D14</f>
        <v>0</v>
      </c>
      <c r="F14" s="26" t="s">
        <v>913</v>
      </c>
    </row>
    <row r="15" customFormat="false" ht="15" hidden="false" customHeight="false" outlineLevel="0" collapsed="false">
      <c r="B15" s="23" t="s">
        <v>915</v>
      </c>
      <c r="C15" s="24" t="n">
        <v>5300000000</v>
      </c>
      <c r="D15" s="24" t="n">
        <v>5300000000</v>
      </c>
      <c r="E15" s="25" t="n">
        <f aca="false">C15-D15</f>
        <v>0</v>
      </c>
      <c r="F15" s="26" t="s">
        <v>916</v>
      </c>
    </row>
    <row r="16" customFormat="false" ht="15" hidden="false" customHeight="false" outlineLevel="0" collapsed="false">
      <c r="B16" s="23" t="s">
        <v>917</v>
      </c>
      <c r="C16" s="24" t="n">
        <v>0</v>
      </c>
      <c r="D16" s="24" t="n">
        <v>0</v>
      </c>
      <c r="E16" s="25" t="n">
        <f aca="false">C16-D16</f>
        <v>0</v>
      </c>
      <c r="F16" s="26" t="s">
        <v>918</v>
      </c>
    </row>
    <row r="17" customFormat="false" ht="15" hidden="false" customHeight="false" outlineLevel="0" collapsed="false">
      <c r="B17" s="27" t="s">
        <v>919</v>
      </c>
      <c r="C17" s="28" t="n">
        <v>38705433765</v>
      </c>
      <c r="D17" s="28" t="n">
        <v>37669000000</v>
      </c>
      <c r="E17" s="29" t="n">
        <f aca="false">C17-D17</f>
        <v>1036433765</v>
      </c>
      <c r="F17" s="26"/>
    </row>
    <row r="19" customFormat="false" ht="15" hidden="false" customHeight="true" outlineLevel="0" collapsed="false">
      <c r="B19" s="3" t="s">
        <v>920</v>
      </c>
      <c r="C19" s="3"/>
      <c r="D19" s="3"/>
      <c r="E19" s="3"/>
      <c r="F19" s="3"/>
    </row>
    <row r="20" customFormat="false" ht="15" hidden="false" customHeight="false" outlineLevel="0" collapsed="false">
      <c r="B20" s="23" t="s">
        <v>921</v>
      </c>
      <c r="C20" s="24" t="n">
        <v>31347124627</v>
      </c>
      <c r="D20" s="24" t="n">
        <v>31470000000</v>
      </c>
      <c r="E20" s="25" t="n">
        <f aca="false">C20-D20</f>
        <v>-122875373</v>
      </c>
      <c r="F20" s="26" t="s">
        <v>922</v>
      </c>
    </row>
    <row r="21" customFormat="false" ht="15" hidden="false" customHeight="false" outlineLevel="0" collapsed="false">
      <c r="B21" s="23" t="s">
        <v>923</v>
      </c>
      <c r="C21" s="24" t="n">
        <v>400000000</v>
      </c>
      <c r="D21" s="24" t="n">
        <v>400000000</v>
      </c>
      <c r="E21" s="25" t="n">
        <f aca="false">C21-D21</f>
        <v>0</v>
      </c>
      <c r="F21" s="26"/>
    </row>
    <row r="22" customFormat="false" ht="15" hidden="false" customHeight="false" outlineLevel="0" collapsed="false">
      <c r="B22" s="23" t="s">
        <v>924</v>
      </c>
      <c r="C22" s="24" t="n">
        <v>1877369395</v>
      </c>
      <c r="D22" s="24" t="n">
        <v>836000000</v>
      </c>
      <c r="E22" s="25" t="n">
        <f aca="false">C22-D22</f>
        <v>1041369395</v>
      </c>
      <c r="F22" s="26" t="s">
        <v>925</v>
      </c>
    </row>
    <row r="23" customFormat="false" ht="15" hidden="false" customHeight="false" outlineLevel="0" collapsed="false">
      <c r="B23" s="23" t="s">
        <v>926</v>
      </c>
      <c r="C23" s="24" t="n">
        <v>813000000</v>
      </c>
      <c r="D23" s="24" t="n">
        <v>763000000</v>
      </c>
      <c r="E23" s="25" t="n">
        <f aca="false">C23-D23</f>
        <v>50000000</v>
      </c>
      <c r="F23" s="26" t="s">
        <v>927</v>
      </c>
    </row>
    <row r="24" customFormat="false" ht="15" hidden="false" customHeight="false" outlineLevel="0" collapsed="false">
      <c r="B24" s="23" t="s">
        <v>928</v>
      </c>
      <c r="C24" s="24" t="n">
        <v>4141939743</v>
      </c>
      <c r="D24" s="24" t="n">
        <v>4086000000</v>
      </c>
      <c r="E24" s="25" t="n">
        <f aca="false">C24-D24</f>
        <v>55939743</v>
      </c>
      <c r="F24" s="26"/>
    </row>
    <row r="25" customFormat="false" ht="15" hidden="false" customHeight="false" outlineLevel="0" collapsed="false">
      <c r="B25" s="23" t="s">
        <v>929</v>
      </c>
      <c r="C25" s="24" t="n">
        <v>126000000</v>
      </c>
      <c r="D25" s="24" t="n">
        <v>115000000</v>
      </c>
      <c r="E25" s="25" t="n">
        <f aca="false">C25-D25</f>
        <v>11000000</v>
      </c>
      <c r="F25" s="26" t="s">
        <v>930</v>
      </c>
    </row>
    <row r="27" customFormat="false" ht="15" hidden="false" customHeight="true" outlineLevel="0" collapsed="false">
      <c r="B27" s="3" t="s">
        <v>931</v>
      </c>
      <c r="C27" s="3"/>
      <c r="D27" s="3"/>
      <c r="E27" s="3"/>
      <c r="F27" s="3"/>
    </row>
    <row r="28" customFormat="false" ht="15" hidden="false" customHeight="false" outlineLevel="0" collapsed="false">
      <c r="B28" s="23" t="s">
        <v>932</v>
      </c>
      <c r="C28" s="24" t="n">
        <f aca="false">SUMIF(Tâches!$B$6:$B$610,"PI-01",Tâches!$M$6:$M$610)</f>
        <v>235489640</v>
      </c>
      <c r="D28" s="24" t="n">
        <v>235489640</v>
      </c>
      <c r="E28" s="25" t="n">
        <f aca="false">C28-D28</f>
        <v>0</v>
      </c>
      <c r="F28" s="26" t="s">
        <v>933</v>
      </c>
    </row>
    <row r="29" customFormat="false" ht="15" hidden="false" customHeight="false" outlineLevel="0" collapsed="false">
      <c r="B29" s="23" t="s">
        <v>934</v>
      </c>
      <c r="C29" s="24" t="n">
        <f aca="false">SUMIF(Tâches!$B$6:$B$610,"PI-02",Tâches!$M$6:$M$610)</f>
        <v>1000000000</v>
      </c>
      <c r="D29" s="24" t="n">
        <v>1000000000</v>
      </c>
      <c r="E29" s="25" t="n">
        <f aca="false">C29-D29</f>
        <v>0</v>
      </c>
      <c r="F29" s="26" t="s">
        <v>935</v>
      </c>
    </row>
    <row r="30" customFormat="false" ht="15" hidden="false" customHeight="false" outlineLevel="0" collapsed="false">
      <c r="B30" s="23" t="s">
        <v>936</v>
      </c>
      <c r="C30" s="24" t="n">
        <f aca="false">SUMIF(Tâches!$B$6:$B$610,"PI-03",Tâches!$M$6:$M$610)</f>
        <v>2899710000</v>
      </c>
      <c r="D30" s="24" t="n">
        <v>2899710000</v>
      </c>
      <c r="E30" s="25" t="n">
        <f aca="false">C30-D30</f>
        <v>0</v>
      </c>
      <c r="F30" s="26" t="s">
        <v>937</v>
      </c>
    </row>
    <row r="31" customFormat="false" ht="15" hidden="false" customHeight="false" outlineLevel="0" collapsed="false">
      <c r="B31" s="23" t="s">
        <v>938</v>
      </c>
      <c r="C31" s="24" t="n">
        <f aca="false">SUMIF(Tâches!$B$6:$B$610,"PI-04",Tâches!$M$6:$M$610)</f>
        <v>1500000000</v>
      </c>
      <c r="D31" s="24" t="n">
        <v>1500000000</v>
      </c>
      <c r="E31" s="25" t="n">
        <f aca="false">C31-D31</f>
        <v>0</v>
      </c>
      <c r="F31" s="26" t="s">
        <v>939</v>
      </c>
    </row>
    <row r="32" customFormat="false" ht="15" hidden="false" customHeight="false" outlineLevel="0" collapsed="false">
      <c r="B32" s="23" t="s">
        <v>940</v>
      </c>
      <c r="C32" s="24" t="n">
        <f aca="false">SUMIF(Tâches!$B$6:$B$610,"PI-05",Tâches!$M$6:$M$610)</f>
        <v>1246000000</v>
      </c>
      <c r="D32" s="24" t="n">
        <v>1246000000</v>
      </c>
      <c r="E32" s="25" t="n">
        <f aca="false">C32-D32</f>
        <v>0</v>
      </c>
      <c r="F32" s="26" t="s">
        <v>941</v>
      </c>
    </row>
    <row r="33" customFormat="false" ht="15" hidden="false" customHeight="false" outlineLevel="0" collapsed="false">
      <c r="B33" s="23" t="s">
        <v>942</v>
      </c>
      <c r="C33" s="24" t="n">
        <f aca="false">SUMIF(Tâches!$B$6:$B$610,"PI-06",Tâches!$M$6:$M$610)</f>
        <v>207934725</v>
      </c>
      <c r="D33" s="24" t="n">
        <v>207934725</v>
      </c>
      <c r="E33" s="25" t="n">
        <f aca="false">C33-D33</f>
        <v>0</v>
      </c>
      <c r="F33" s="26" t="s">
        <v>943</v>
      </c>
    </row>
    <row r="34" customFormat="false" ht="15" hidden="false" customHeight="false" outlineLevel="0" collapsed="false">
      <c r="B34" s="23" t="s">
        <v>944</v>
      </c>
      <c r="C34" s="24" t="n">
        <f aca="false">SUMIF(Tâches!$B$6:$B$610,"PI-07",Tâches!$M$6:$M$610)</f>
        <v>1153434670</v>
      </c>
      <c r="D34" s="24" t="n">
        <v>1153434670</v>
      </c>
      <c r="E34" s="25" t="n">
        <f aca="false">C34-D34</f>
        <v>0</v>
      </c>
      <c r="F34" s="26" t="s">
        <v>945</v>
      </c>
    </row>
    <row r="35" customFormat="false" ht="15" hidden="false" customHeight="false" outlineLevel="0" collapsed="false">
      <c r="B35" s="23" t="s">
        <v>946</v>
      </c>
      <c r="C35" s="24" t="n">
        <f aca="false">SUMIF(Tâches!$B$6:$B$610,"PI-08",Tâches!$M$6:$M$610)</f>
        <v>1832414627</v>
      </c>
      <c r="D35" s="24" t="n">
        <v>1832414627</v>
      </c>
      <c r="E35" s="25" t="n">
        <f aca="false">C35-D35</f>
        <v>0</v>
      </c>
      <c r="F35" s="26" t="s">
        <v>947</v>
      </c>
    </row>
    <row r="36" customFormat="false" ht="15" hidden="false" customHeight="false" outlineLevel="0" collapsed="false">
      <c r="B36" s="23" t="s">
        <v>948</v>
      </c>
      <c r="C36" s="24" t="n">
        <f aca="false">SUMIF(Tâches!$B$6:$B$610,"PI-09",Tâches!$M$6:$M$610)</f>
        <v>513000000</v>
      </c>
      <c r="D36" s="24" t="n">
        <v>513000000</v>
      </c>
      <c r="E36" s="25" t="n">
        <f aca="false">C36-D36</f>
        <v>0</v>
      </c>
      <c r="F36" s="26" t="s">
        <v>949</v>
      </c>
    </row>
    <row r="37" customFormat="false" ht="15" hidden="false" customHeight="false" outlineLevel="0" collapsed="false">
      <c r="B37" s="23" t="s">
        <v>950</v>
      </c>
      <c r="C37" s="24" t="n">
        <f aca="false">SUMIF(Tâches!$B$6:$B$610,"PI-10",Tâches!$M$6:$M$610)</f>
        <v>126000000</v>
      </c>
      <c r="D37" s="24" t="n">
        <v>126000000</v>
      </c>
      <c r="E37" s="25" t="n">
        <f aca="false">C37-D37</f>
        <v>0</v>
      </c>
      <c r="F37" s="26" t="s">
        <v>951</v>
      </c>
    </row>
    <row r="38" customFormat="false" ht="15" hidden="false" customHeight="false" outlineLevel="0" collapsed="false">
      <c r="B38" s="23" t="s">
        <v>952</v>
      </c>
      <c r="C38" s="24" t="n">
        <f aca="false">SUMIF(Tâches!$B$6:$B$610,"PI-12",Tâches!$M$6:$M$610)</f>
        <v>120939743</v>
      </c>
      <c r="D38" s="24" t="n">
        <v>120939743</v>
      </c>
      <c r="E38" s="25" t="n">
        <f aca="false">C38-D38</f>
        <v>0</v>
      </c>
      <c r="F38" s="26" t="s">
        <v>953</v>
      </c>
    </row>
    <row r="39" customFormat="false" ht="15" hidden="false" customHeight="false" outlineLevel="0" collapsed="false">
      <c r="B39" s="23" t="s">
        <v>954</v>
      </c>
      <c r="C39" s="24" t="n">
        <f aca="false">SUMIF(Tâches!$B$6:$B$610,"PI-13",Tâches!$M$6:$M$610)</f>
        <v>2800000000</v>
      </c>
      <c r="D39" s="24" t="n">
        <v>2800000000</v>
      </c>
      <c r="E39" s="25" t="n">
        <f aca="false">C39-D39</f>
        <v>0</v>
      </c>
      <c r="F39" s="26" t="s">
        <v>937</v>
      </c>
    </row>
    <row r="40" customFormat="false" ht="15" hidden="false" customHeight="false" outlineLevel="0" collapsed="false">
      <c r="B40" s="23" t="s">
        <v>955</v>
      </c>
      <c r="C40" s="24" t="n">
        <f aca="false">SUMIF(Tâches!$B$6:$B$610,"PI-14",Tâches!$M$6:$M$610)</f>
        <v>1000000000</v>
      </c>
      <c r="D40" s="24" t="n">
        <v>1000000000</v>
      </c>
      <c r="E40" s="25" t="n">
        <f aca="false">C40-D40</f>
        <v>0</v>
      </c>
      <c r="F40" s="26" t="s">
        <v>935</v>
      </c>
    </row>
    <row r="41" customFormat="false" ht="15" hidden="false" customHeight="false" outlineLevel="0" collapsed="false">
      <c r="B41" s="23" t="s">
        <v>956</v>
      </c>
      <c r="C41" s="24" t="n">
        <f aca="false">SUMIF(Tâches!$B$6:$B$610,"PI-17",Tâches!$M$6:$M$610)</f>
        <v>2800000000</v>
      </c>
      <c r="D41" s="24" t="n">
        <v>2800000000</v>
      </c>
      <c r="E41" s="25" t="n">
        <f aca="false">C41-D41</f>
        <v>0</v>
      </c>
      <c r="F41" s="26" t="s">
        <v>937</v>
      </c>
    </row>
    <row r="42" customFormat="false" ht="15" hidden="false" customHeight="false" outlineLevel="0" collapsed="false">
      <c r="B42" s="23" t="s">
        <v>957</v>
      </c>
      <c r="C42" s="24" t="n">
        <f aca="false">SUMIF(Tâches!$B$6:$B$610,"PI-18",Tâches!$M$6:$M$610)</f>
        <v>1000000000</v>
      </c>
      <c r="D42" s="24" t="n">
        <v>1000000000</v>
      </c>
      <c r="E42" s="25" t="n">
        <f aca="false">C42-D42</f>
        <v>0</v>
      </c>
      <c r="F42" s="26" t="s">
        <v>935</v>
      </c>
    </row>
    <row r="43" customFormat="false" ht="15" hidden="false" customHeight="false" outlineLevel="0" collapsed="false">
      <c r="B43" s="23" t="s">
        <v>958</v>
      </c>
      <c r="C43" s="24" t="n">
        <f aca="false">SUMIF(Tâches!$B$6:$B$610,"PI-19",Tâches!$M$6:$M$610)</f>
        <v>1500000000</v>
      </c>
      <c r="D43" s="24" t="n">
        <v>1500000000</v>
      </c>
      <c r="E43" s="25" t="n">
        <f aca="false">C43-D43</f>
        <v>0</v>
      </c>
      <c r="F43" s="26" t="s">
        <v>939</v>
      </c>
    </row>
    <row r="44" customFormat="false" ht="15" hidden="false" customHeight="false" outlineLevel="0" collapsed="false">
      <c r="B44" s="23" t="s">
        <v>959</v>
      </c>
      <c r="C44" s="24" t="n">
        <f aca="false">SUMIF(Tâches!$B$6:$B$610,"PI-20",Tâches!$M$6:$M$610)</f>
        <v>1000000000</v>
      </c>
      <c r="D44" s="24" t="n">
        <v>1000000000</v>
      </c>
      <c r="E44" s="25" t="n">
        <f aca="false">C44-D44</f>
        <v>0</v>
      </c>
      <c r="F44" s="26" t="s">
        <v>941</v>
      </c>
    </row>
    <row r="45" customFormat="false" ht="15" hidden="false" customHeight="false" outlineLevel="0" collapsed="false">
      <c r="B45" s="23" t="s">
        <v>960</v>
      </c>
      <c r="C45" s="24" t="n">
        <f aca="false">SUMIF(Tâches!$B$6:$B$610,"PI-24",Tâches!$M$6:$M$610)</f>
        <v>2800000000</v>
      </c>
      <c r="D45" s="24" t="n">
        <v>2800000000</v>
      </c>
      <c r="E45" s="25" t="n">
        <f aca="false">C45-D45</f>
        <v>0</v>
      </c>
      <c r="F45" s="26" t="s">
        <v>937</v>
      </c>
    </row>
    <row r="46" customFormat="false" ht="15" hidden="false" customHeight="false" outlineLevel="0" collapsed="false">
      <c r="B46" s="23" t="s">
        <v>961</v>
      </c>
      <c r="C46" s="24" t="n">
        <f aca="false">SUMIF(Tâches!$B$6:$B$610,"PI-25",Tâches!$M$6:$M$610)</f>
        <v>1500000000</v>
      </c>
      <c r="D46" s="24" t="n">
        <v>1500000000</v>
      </c>
      <c r="E46" s="25" t="n">
        <f aca="false">C46-D46</f>
        <v>0</v>
      </c>
      <c r="F46" s="26" t="s">
        <v>939</v>
      </c>
    </row>
    <row r="47" customFormat="false" ht="15" hidden="false" customHeight="false" outlineLevel="0" collapsed="false">
      <c r="B47" s="23" t="s">
        <v>962</v>
      </c>
      <c r="C47" s="24" t="n">
        <f aca="false">SUMIF(Tâches!$B$6:$B$610,"PI-26",Tâches!$M$6:$M$610)</f>
        <v>1000000000</v>
      </c>
      <c r="D47" s="24" t="n">
        <v>1000000000</v>
      </c>
      <c r="E47" s="25" t="n">
        <f aca="false">C47-D47</f>
        <v>0</v>
      </c>
      <c r="F47" s="26" t="s">
        <v>941</v>
      </c>
    </row>
    <row r="48" customFormat="false" ht="15" hidden="false" customHeight="false" outlineLevel="0" collapsed="false">
      <c r="B48" s="23" t="s">
        <v>963</v>
      </c>
      <c r="C48" s="24"/>
      <c r="D48" s="24"/>
      <c r="E48" s="25"/>
      <c r="F48" s="26" t="s">
        <v>964</v>
      </c>
    </row>
    <row r="50" customFormat="false" ht="15" hidden="false" customHeight="true" outlineLevel="0" collapsed="false">
      <c r="B50" s="3" t="s">
        <v>965</v>
      </c>
      <c r="C50" s="3"/>
      <c r="D50" s="3"/>
      <c r="E50" s="3"/>
      <c r="F50" s="3"/>
    </row>
    <row r="51" customFormat="false" ht="15" hidden="false" customHeight="false" outlineLevel="0" collapsed="false">
      <c r="B51" s="23" t="s">
        <v>966</v>
      </c>
      <c r="C51" s="24" t="n">
        <v>2040349352</v>
      </c>
      <c r="D51" s="24"/>
      <c r="E51" s="25"/>
      <c r="F51" s="26" t="s">
        <v>967</v>
      </c>
    </row>
    <row r="52" customFormat="false" ht="15" hidden="false" customHeight="false" outlineLevel="0" collapsed="false">
      <c r="B52" s="23" t="s">
        <v>968</v>
      </c>
      <c r="C52" s="24" t="n">
        <v>4174084413</v>
      </c>
      <c r="D52" s="24"/>
      <c r="E52" s="25"/>
      <c r="F52" s="26" t="s">
        <v>969</v>
      </c>
    </row>
    <row r="53" customFormat="false" ht="15" hidden="false" customHeight="false" outlineLevel="0" collapsed="false">
      <c r="B53" s="23" t="s">
        <v>970</v>
      </c>
      <c r="C53" s="24" t="n">
        <v>31009510360</v>
      </c>
      <c r="D53" s="24"/>
      <c r="E53" s="25"/>
      <c r="F53" s="26" t="s">
        <v>971</v>
      </c>
    </row>
    <row r="54" customFormat="false" ht="15" hidden="false" customHeight="false" outlineLevel="0" collapsed="false">
      <c r="B54" s="23" t="s">
        <v>972</v>
      </c>
      <c r="C54" s="24" t="n">
        <v>1481489640</v>
      </c>
      <c r="D54" s="24"/>
      <c r="E54" s="25"/>
      <c r="F54" s="26" t="s">
        <v>973</v>
      </c>
    </row>
    <row r="56" customFormat="false" ht="15" hidden="false" customHeight="true" outlineLevel="0" collapsed="false">
      <c r="B56" s="3" t="s">
        <v>974</v>
      </c>
      <c r="C56" s="3"/>
      <c r="D56" s="3"/>
      <c r="E56" s="3"/>
      <c r="F56" s="3"/>
    </row>
    <row r="57" customFormat="false" ht="15" hidden="false" customHeight="false" outlineLevel="0" collapsed="false">
      <c r="B57" s="23" t="s">
        <v>975</v>
      </c>
      <c r="C57" s="24" t="n">
        <v>38705433765</v>
      </c>
      <c r="D57" s="24"/>
      <c r="E57" s="25"/>
      <c r="F57" s="26"/>
    </row>
    <row r="58" customFormat="false" ht="15" hidden="false" customHeight="false" outlineLevel="0" collapsed="false">
      <c r="B58" s="23" t="s">
        <v>12</v>
      </c>
      <c r="C58" s="24" t="n">
        <v>1811891592</v>
      </c>
      <c r="D58" s="24"/>
      <c r="E58" s="25"/>
      <c r="F58" s="26" t="s">
        <v>976</v>
      </c>
    </row>
    <row r="59" customFormat="false" ht="15" hidden="false" customHeight="false" outlineLevel="0" collapsed="false">
      <c r="B59" s="23" t="s">
        <v>15</v>
      </c>
      <c r="C59" s="24" t="n">
        <v>7293118564</v>
      </c>
      <c r="D59" s="24"/>
      <c r="E59" s="25"/>
      <c r="F59" s="26" t="s">
        <v>977</v>
      </c>
    </row>
    <row r="60" customFormat="false" ht="15" hidden="false" customHeight="false" outlineLevel="0" collapsed="false">
      <c r="B60" s="27" t="s">
        <v>978</v>
      </c>
      <c r="C60" s="28" t="n">
        <v>47810443921</v>
      </c>
      <c r="D60" s="28"/>
      <c r="E60" s="29"/>
      <c r="F60" s="26" t="s">
        <v>979</v>
      </c>
    </row>
  </sheetData>
  <mergeCells count="8">
    <mergeCell ref="B2:F2"/>
    <mergeCell ref="B3:F3"/>
    <mergeCell ref="B6:F6"/>
    <mergeCell ref="B11:F11"/>
    <mergeCell ref="B19:F19"/>
    <mergeCell ref="B27:F27"/>
    <mergeCell ref="B50:F50"/>
    <mergeCell ref="B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2026-08-23T11:18:34Z</dcterms:created>
  <dc:creator>openpyxl</dc:creator>
  <dc:description/>
  <dc:language>en-US</dc:language>
  <cp:lastModifiedBy/>
  <dcterms:modified xsi:type="dcterms:W3CDTF">2026-08-23T11:18:35Z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